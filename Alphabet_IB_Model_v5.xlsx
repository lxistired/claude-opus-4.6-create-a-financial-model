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xxxxxx\Desktop\谷歌\google_financial_model_2026\"/>
    </mc:Choice>
  </mc:AlternateContent>
  <xr:revisionPtr revIDLastSave="0" documentId="13_ncr:1_{74350DD9-7FDF-4978-8E8B-5E7D71973C3F}" xr6:coauthVersionLast="47" xr6:coauthVersionMax="47" xr10:uidLastSave="{00000000-0000-0000-0000-000000000000}"/>
  <bookViews>
    <workbookView xWindow="-120" yWindow="-120" windowWidth="29040" windowHeight="15720" firstSheet="2" activeTab="10" xr2:uid="{00000000-000D-0000-FFFF-FFFF00000000}"/>
  </bookViews>
  <sheets>
    <sheet name="Cover" sheetId="1" r:id="rId1"/>
    <sheet name="Key_Summary" sheetId="2" r:id="rId2"/>
    <sheet name="Assumptions" sheetId="3" r:id="rId3"/>
    <sheet name="Segment_Revenue" sheetId="4" r:id="rId4"/>
    <sheet name="Segment_PL" sheetId="5" r:id="rId5"/>
    <sheet name="Consolidated_PL" sheetId="6" r:id="rId6"/>
    <sheet name="BS" sheetId="7" r:id="rId7"/>
    <sheet name="Cash_Flow" sheetId="8" r:id="rId8"/>
    <sheet name="DCF" sheetId="9" r:id="rId9"/>
    <sheet name="Sensitivity" sheetId="10" r:id="rId10"/>
    <sheet name="Ratio_Analysi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1" l="1"/>
  <c r="C21" i="11"/>
  <c r="B21" i="11"/>
  <c r="D16" i="11"/>
  <c r="C16" i="11"/>
  <c r="B16" i="11"/>
  <c r="G27" i="9"/>
  <c r="G25" i="9"/>
  <c r="G22" i="9"/>
  <c r="D26" i="8"/>
  <c r="C26" i="8"/>
  <c r="B26" i="8"/>
  <c r="C37" i="7"/>
  <c r="C42" i="7" s="1"/>
  <c r="D36" i="7"/>
  <c r="D37" i="7" s="1"/>
  <c r="D42" i="7" s="1"/>
  <c r="C36" i="7"/>
  <c r="B36" i="7"/>
  <c r="F35" i="7"/>
  <c r="G35" i="7" s="1"/>
  <c r="H35" i="7" s="1"/>
  <c r="I35" i="7" s="1"/>
  <c r="E35" i="7"/>
  <c r="G33" i="7"/>
  <c r="H33" i="7" s="1"/>
  <c r="I33" i="7" s="1"/>
  <c r="F33" i="7"/>
  <c r="E33" i="7"/>
  <c r="D29" i="7"/>
  <c r="C29" i="7"/>
  <c r="B29" i="7"/>
  <c r="B37" i="7" s="1"/>
  <c r="B42" i="7" s="1"/>
  <c r="B21" i="7"/>
  <c r="B19" i="11" s="1"/>
  <c r="D20" i="7"/>
  <c r="C20" i="7"/>
  <c r="C21" i="7" s="1"/>
  <c r="B20" i="7"/>
  <c r="E19" i="7"/>
  <c r="F19" i="7" s="1"/>
  <c r="G19" i="7" s="1"/>
  <c r="H19" i="7" s="1"/>
  <c r="I19" i="7" s="1"/>
  <c r="G18" i="7"/>
  <c r="H18" i="7" s="1"/>
  <c r="I18" i="7" s="1"/>
  <c r="F18" i="7"/>
  <c r="E18" i="7"/>
  <c r="D11" i="7"/>
  <c r="C11" i="7"/>
  <c r="C20" i="11" s="1"/>
  <c r="B11" i="7"/>
  <c r="B20" i="11" s="1"/>
  <c r="E7" i="7"/>
  <c r="F7" i="7" s="1"/>
  <c r="G7" i="7" s="1"/>
  <c r="H7" i="7" s="1"/>
  <c r="I7" i="7" s="1"/>
  <c r="E40" i="6"/>
  <c r="F40" i="6" s="1"/>
  <c r="G40" i="6" s="1"/>
  <c r="H40" i="6" s="1"/>
  <c r="I40" i="6" s="1"/>
  <c r="D25" i="6"/>
  <c r="C25" i="6"/>
  <c r="B25" i="6"/>
  <c r="D14" i="6"/>
  <c r="D14" i="11" s="1"/>
  <c r="C14" i="6"/>
  <c r="C14" i="11" s="1"/>
  <c r="B14" i="6"/>
  <c r="B14" i="11" s="1"/>
  <c r="C11" i="6"/>
  <c r="D25" i="5"/>
  <c r="B25" i="5"/>
  <c r="D24" i="5"/>
  <c r="D22" i="5"/>
  <c r="C22" i="5"/>
  <c r="C25" i="5" s="1"/>
  <c r="B22" i="5"/>
  <c r="B24" i="5" s="1"/>
  <c r="B19" i="5"/>
  <c r="D17" i="5"/>
  <c r="C17" i="5"/>
  <c r="C18" i="5" s="1"/>
  <c r="C19" i="5" s="1"/>
  <c r="B17" i="5"/>
  <c r="B18" i="5" s="1"/>
  <c r="D14" i="5"/>
  <c r="D18" i="5" s="1"/>
  <c r="D19" i="5" s="1"/>
  <c r="C14" i="5"/>
  <c r="B14" i="5"/>
  <c r="D9" i="5"/>
  <c r="C9" i="5"/>
  <c r="B9" i="5"/>
  <c r="D31" i="4"/>
  <c r="D27" i="4"/>
  <c r="C27" i="4"/>
  <c r="E26" i="4"/>
  <c r="E27" i="4" s="1"/>
  <c r="D23" i="4"/>
  <c r="C23" i="4"/>
  <c r="E22" i="4"/>
  <c r="F22" i="4" s="1"/>
  <c r="D19" i="4"/>
  <c r="D17" i="4"/>
  <c r="C17" i="4"/>
  <c r="E16" i="4"/>
  <c r="E17" i="4" s="1"/>
  <c r="D13" i="4"/>
  <c r="D7" i="6" s="1"/>
  <c r="D11" i="6" s="1"/>
  <c r="C13" i="4"/>
  <c r="C7" i="6" s="1"/>
  <c r="B13" i="4"/>
  <c r="B7" i="6" s="1"/>
  <c r="B11" i="6" s="1"/>
  <c r="D12" i="4"/>
  <c r="C12" i="4"/>
  <c r="E11" i="4"/>
  <c r="E12" i="4" s="1"/>
  <c r="D10" i="4"/>
  <c r="C10" i="4"/>
  <c r="E9" i="4"/>
  <c r="E10" i="4" s="1"/>
  <c r="D8" i="4"/>
  <c r="C8" i="4"/>
  <c r="E7" i="4"/>
  <c r="F7" i="4" s="1"/>
  <c r="I91" i="3"/>
  <c r="E14" i="7" s="1"/>
  <c r="I90" i="3"/>
  <c r="E17" i="7" s="1"/>
  <c r="I89" i="3"/>
  <c r="E28" i="7" s="1"/>
  <c r="E19" i="8" s="1"/>
  <c r="I88" i="3"/>
  <c r="I87" i="3"/>
  <c r="I86" i="3"/>
  <c r="I85" i="3"/>
  <c r="I84" i="3"/>
  <c r="I80" i="3"/>
  <c r="I79" i="3"/>
  <c r="H30" i="8" s="1"/>
  <c r="I76" i="3"/>
  <c r="I23" i="8" s="1"/>
  <c r="I75" i="3"/>
  <c r="H23" i="8" s="1"/>
  <c r="I74" i="3"/>
  <c r="I73" i="3"/>
  <c r="F23" i="8" s="1"/>
  <c r="I72" i="3"/>
  <c r="I68" i="3"/>
  <c r="I67" i="3"/>
  <c r="I66" i="3"/>
  <c r="I65" i="3"/>
  <c r="I64" i="3"/>
  <c r="I63" i="3"/>
  <c r="I62" i="3"/>
  <c r="I61" i="3"/>
  <c r="I57" i="3"/>
  <c r="I56" i="3"/>
  <c r="I55" i="3"/>
  <c r="I54" i="3"/>
  <c r="I53" i="3"/>
  <c r="I52" i="3"/>
  <c r="I23" i="3"/>
  <c r="B26" i="9" s="1"/>
  <c r="I22" i="3"/>
  <c r="I32" i="7" s="1"/>
  <c r="I21" i="3"/>
  <c r="B23" i="9" s="1"/>
  <c r="I13" i="3"/>
  <c r="I12" i="3"/>
  <c r="I11" i="3"/>
  <c r="I10" i="3"/>
  <c r="I9" i="3"/>
  <c r="I8" i="3"/>
  <c r="I7" i="3"/>
  <c r="D27" i="2"/>
  <c r="C27" i="2"/>
  <c r="B27" i="2"/>
  <c r="D26" i="2"/>
  <c r="C26" i="2"/>
  <c r="B26" i="2"/>
  <c r="C25" i="2"/>
  <c r="B25" i="2"/>
  <c r="D21" i="2"/>
  <c r="C21" i="2"/>
  <c r="B21" i="2"/>
  <c r="D19" i="2"/>
  <c r="C19" i="2"/>
  <c r="B19" i="2"/>
  <c r="F28" i="7" l="1"/>
  <c r="I17" i="3"/>
  <c r="E10" i="9"/>
  <c r="E23" i="4"/>
  <c r="I16" i="3"/>
  <c r="E8" i="4"/>
  <c r="F30" i="8"/>
  <c r="E13" i="4"/>
  <c r="E27" i="7" s="1"/>
  <c r="E18" i="8" s="1"/>
  <c r="I30" i="8"/>
  <c r="E32" i="7"/>
  <c r="E19" i="2"/>
  <c r="I18" i="3"/>
  <c r="E7" i="6"/>
  <c r="E10" i="6" s="1"/>
  <c r="E19" i="4"/>
  <c r="D40" i="4"/>
  <c r="D38" i="4"/>
  <c r="D36" i="4"/>
  <c r="D5" i="6"/>
  <c r="D29" i="5"/>
  <c r="D39" i="4"/>
  <c r="D37" i="4"/>
  <c r="D35" i="4"/>
  <c r="C43" i="7"/>
  <c r="C19" i="11"/>
  <c r="G22" i="4"/>
  <c r="F23" i="4"/>
  <c r="F14" i="5"/>
  <c r="F19" i="2"/>
  <c r="G7" i="4"/>
  <c r="H32" i="7"/>
  <c r="B24" i="9"/>
  <c r="G32" i="7"/>
  <c r="F32" i="7"/>
  <c r="G23" i="8"/>
  <c r="D10" i="9"/>
  <c r="F19" i="8"/>
  <c r="G28" i="7"/>
  <c r="I28" i="5"/>
  <c r="H28" i="5"/>
  <c r="F28" i="5"/>
  <c r="E28" i="5"/>
  <c r="D25" i="11"/>
  <c r="F8" i="4"/>
  <c r="G28" i="5"/>
  <c r="D6" i="5"/>
  <c r="D10" i="5" s="1"/>
  <c r="D17" i="2"/>
  <c r="F14" i="7"/>
  <c r="D20" i="11"/>
  <c r="D21" i="7"/>
  <c r="E34" i="7"/>
  <c r="F17" i="7"/>
  <c r="I31" i="8"/>
  <c r="H31" i="8"/>
  <c r="G31" i="8"/>
  <c r="F31" i="8"/>
  <c r="E31" i="8"/>
  <c r="F9" i="4"/>
  <c r="F16" i="4"/>
  <c r="E14" i="5"/>
  <c r="B43" i="7"/>
  <c r="B10" i="9"/>
  <c r="C10" i="9"/>
  <c r="E30" i="8"/>
  <c r="B19" i="4"/>
  <c r="G30" i="8"/>
  <c r="F10" i="9"/>
  <c r="F11" i="4"/>
  <c r="C19" i="4"/>
  <c r="C24" i="5"/>
  <c r="E23" i="8"/>
  <c r="F26" i="4"/>
  <c r="E22" i="5"/>
  <c r="E21" i="2"/>
  <c r="E36" i="7" l="1"/>
  <c r="D6" i="11"/>
  <c r="D27" i="8"/>
  <c r="D24" i="8"/>
  <c r="D20" i="6"/>
  <c r="D15" i="11"/>
  <c r="D13" i="11"/>
  <c r="D15" i="6"/>
  <c r="D13" i="6"/>
  <c r="D22" i="6"/>
  <c r="D24" i="6"/>
  <c r="D5" i="2"/>
  <c r="G9" i="4"/>
  <c r="F10" i="4"/>
  <c r="G23" i="4"/>
  <c r="G14" i="5"/>
  <c r="G19" i="2"/>
  <c r="H22" i="4"/>
  <c r="F12" i="4"/>
  <c r="G11" i="4"/>
  <c r="G16" i="4"/>
  <c r="F17" i="4"/>
  <c r="F21" i="2"/>
  <c r="F22" i="5"/>
  <c r="G26" i="4"/>
  <c r="F27" i="4"/>
  <c r="G19" i="8"/>
  <c r="H28" i="7"/>
  <c r="G8" i="4"/>
  <c r="H7" i="4"/>
  <c r="G14" i="7"/>
  <c r="F16" i="5"/>
  <c r="F15" i="5"/>
  <c r="E23" i="5"/>
  <c r="E25" i="5" s="1"/>
  <c r="E31" i="4"/>
  <c r="E29" i="5" s="1"/>
  <c r="E17" i="2"/>
  <c r="E6" i="5"/>
  <c r="E16" i="5"/>
  <c r="E15" i="5"/>
  <c r="E17" i="5" s="1"/>
  <c r="E18" i="5" s="1"/>
  <c r="E19" i="5" s="1"/>
  <c r="C31" i="4"/>
  <c r="C6" i="5"/>
  <c r="C10" i="5" s="1"/>
  <c r="C17" i="2"/>
  <c r="B31" i="4"/>
  <c r="B17" i="2"/>
  <c r="B6" i="5"/>
  <c r="B10" i="5" s="1"/>
  <c r="E13" i="9"/>
  <c r="D13" i="9"/>
  <c r="C13" i="9"/>
  <c r="B13" i="9"/>
  <c r="F13" i="9"/>
  <c r="D11" i="5"/>
  <c r="D32" i="5"/>
  <c r="E11" i="6"/>
  <c r="F34" i="7"/>
  <c r="F36" i="7" s="1"/>
  <c r="G17" i="7"/>
  <c r="D19" i="11"/>
  <c r="D43" i="7"/>
  <c r="D25" i="2"/>
  <c r="F13" i="4"/>
  <c r="F17" i="5" l="1"/>
  <c r="F18" i="5" s="1"/>
  <c r="F19" i="5" s="1"/>
  <c r="H9" i="4"/>
  <c r="G10" i="4"/>
  <c r="C32" i="5"/>
  <c r="C11" i="5"/>
  <c r="G12" i="4"/>
  <c r="H11" i="4"/>
  <c r="I22" i="4"/>
  <c r="H23" i="4"/>
  <c r="H14" i="5"/>
  <c r="E24" i="5"/>
  <c r="F23" i="5"/>
  <c r="F25" i="5" s="1"/>
  <c r="D26" i="6"/>
  <c r="D20" i="2"/>
  <c r="D22" i="2"/>
  <c r="C40" i="4"/>
  <c r="C38" i="4"/>
  <c r="C36" i="4"/>
  <c r="C32" i="4"/>
  <c r="C5" i="6"/>
  <c r="C29" i="5"/>
  <c r="C39" i="4"/>
  <c r="C37" i="4"/>
  <c r="C35" i="4"/>
  <c r="D32" i="4"/>
  <c r="I7" i="4"/>
  <c r="H8" i="4"/>
  <c r="D16" i="6"/>
  <c r="D7" i="2"/>
  <c r="D8" i="2" s="1"/>
  <c r="G13" i="4"/>
  <c r="G22" i="5"/>
  <c r="H26" i="4"/>
  <c r="G27" i="4"/>
  <c r="G21" i="2"/>
  <c r="F27" i="7"/>
  <c r="F18" i="8" s="1"/>
  <c r="F7" i="6"/>
  <c r="F10" i="6" s="1"/>
  <c r="F19" i="4"/>
  <c r="G34" i="7"/>
  <c r="G36" i="7" s="1"/>
  <c r="H17" i="7"/>
  <c r="H16" i="4"/>
  <c r="G17" i="4"/>
  <c r="H14" i="7"/>
  <c r="B11" i="5"/>
  <c r="B32" i="5"/>
  <c r="H19" i="8"/>
  <c r="I28" i="7"/>
  <c r="I19" i="8" s="1"/>
  <c r="E7" i="5"/>
  <c r="E8" i="5"/>
  <c r="G16" i="5"/>
  <c r="G15" i="5"/>
  <c r="B40" i="4"/>
  <c r="B38" i="4"/>
  <c r="B36" i="4"/>
  <c r="B5" i="6"/>
  <c r="B29" i="5"/>
  <c r="B37" i="4"/>
  <c r="B39" i="4"/>
  <c r="B35" i="4"/>
  <c r="D18" i="2"/>
  <c r="E32" i="4"/>
  <c r="E5" i="6"/>
  <c r="E37" i="4"/>
  <c r="E35" i="4"/>
  <c r="E39" i="4"/>
  <c r="E38" i="4"/>
  <c r="E40" i="4"/>
  <c r="E36" i="4"/>
  <c r="G17" i="5" l="1"/>
  <c r="G18" i="5" s="1"/>
  <c r="G19" i="5" s="1"/>
  <c r="H22" i="5"/>
  <c r="I26" i="4"/>
  <c r="H27" i="4"/>
  <c r="G23" i="5"/>
  <c r="G25" i="5" s="1"/>
  <c r="H12" i="4"/>
  <c r="I11" i="4"/>
  <c r="I14" i="7"/>
  <c r="D31" i="6"/>
  <c r="D33" i="6" s="1"/>
  <c r="D27" i="6"/>
  <c r="D33" i="5"/>
  <c r="D34" i="5" s="1"/>
  <c r="D7" i="11"/>
  <c r="D9" i="2"/>
  <c r="D10" i="2" s="1"/>
  <c r="E9" i="5"/>
  <c r="E10" i="5" s="1"/>
  <c r="I23" i="4"/>
  <c r="I14" i="5"/>
  <c r="B6" i="11"/>
  <c r="B24" i="8"/>
  <c r="B20" i="6"/>
  <c r="B22" i="6"/>
  <c r="B15" i="11"/>
  <c r="B13" i="11"/>
  <c r="B15" i="6"/>
  <c r="B13" i="6"/>
  <c r="B24" i="6"/>
  <c r="B5" i="2"/>
  <c r="B25" i="11"/>
  <c r="B27" i="8"/>
  <c r="G7" i="6"/>
  <c r="G10" i="6" s="1"/>
  <c r="G19" i="4"/>
  <c r="G27" i="7"/>
  <c r="G18" i="8" s="1"/>
  <c r="D28" i="6"/>
  <c r="I8" i="4"/>
  <c r="C26" i="6"/>
  <c r="F11" i="6"/>
  <c r="E37" i="6"/>
  <c r="E12" i="6"/>
  <c r="E28" i="11"/>
  <c r="E23" i="6"/>
  <c r="E24" i="6" s="1"/>
  <c r="E26" i="7"/>
  <c r="E17" i="8" s="1"/>
  <c r="E10" i="7"/>
  <c r="B11" i="9"/>
  <c r="E38" i="6"/>
  <c r="E8" i="8" s="1"/>
  <c r="E19" i="6"/>
  <c r="E25" i="7"/>
  <c r="E6" i="6"/>
  <c r="E9" i="7"/>
  <c r="E5" i="2"/>
  <c r="E21" i="6"/>
  <c r="E22" i="6" s="1"/>
  <c r="E15" i="11"/>
  <c r="E24" i="8"/>
  <c r="F24" i="5"/>
  <c r="H16" i="5"/>
  <c r="H15" i="5"/>
  <c r="H17" i="5" s="1"/>
  <c r="H18" i="5" s="1"/>
  <c r="H19" i="5" s="1"/>
  <c r="B26" i="6"/>
  <c r="C6" i="11"/>
  <c r="C24" i="8"/>
  <c r="C28" i="11"/>
  <c r="C20" i="6"/>
  <c r="C5" i="2"/>
  <c r="C22" i="6"/>
  <c r="C24" i="6"/>
  <c r="C6" i="6"/>
  <c r="C15" i="11"/>
  <c r="C13" i="11"/>
  <c r="C13" i="6"/>
  <c r="C15" i="6"/>
  <c r="C27" i="8"/>
  <c r="C25" i="11"/>
  <c r="D6" i="6"/>
  <c r="D28" i="11"/>
  <c r="I16" i="4"/>
  <c r="H17" i="4"/>
  <c r="H34" i="7"/>
  <c r="H36" i="7" s="1"/>
  <c r="I17" i="7"/>
  <c r="I34" i="7" s="1"/>
  <c r="I36" i="7" s="1"/>
  <c r="F31" i="4"/>
  <c r="F6" i="5"/>
  <c r="F17" i="2"/>
  <c r="H13" i="4"/>
  <c r="I9" i="4"/>
  <c r="H10" i="4"/>
  <c r="I13" i="4" l="1"/>
  <c r="I19" i="4" s="1"/>
  <c r="I27" i="7"/>
  <c r="I7" i="6"/>
  <c r="I10" i="6" s="1"/>
  <c r="B22" i="2"/>
  <c r="B20" i="2"/>
  <c r="B18" i="2"/>
  <c r="B16" i="6"/>
  <c r="B28" i="6"/>
  <c r="B7" i="2"/>
  <c r="B8" i="2" s="1"/>
  <c r="E13" i="8"/>
  <c r="E13" i="11"/>
  <c r="C31" i="6"/>
  <c r="C33" i="6" s="1"/>
  <c r="C27" i="6"/>
  <c r="C33" i="5"/>
  <c r="C34" i="5" s="1"/>
  <c r="C9" i="2"/>
  <c r="C10" i="2" s="1"/>
  <c r="C7" i="11"/>
  <c r="E25" i="6"/>
  <c r="E20" i="6"/>
  <c r="C16" i="6"/>
  <c r="C28" i="6"/>
  <c r="C7" i="2"/>
  <c r="C8" i="2" s="1"/>
  <c r="D41" i="6"/>
  <c r="D24" i="11"/>
  <c r="D10" i="11"/>
  <c r="D8" i="11"/>
  <c r="D9" i="11"/>
  <c r="D34" i="6"/>
  <c r="D11" i="2"/>
  <c r="I17" i="4"/>
  <c r="I16" i="5"/>
  <c r="I15" i="5"/>
  <c r="G24" i="5"/>
  <c r="E7" i="8"/>
  <c r="B9" i="9"/>
  <c r="E16" i="7"/>
  <c r="E16" i="11"/>
  <c r="H7" i="6"/>
  <c r="H10" i="6" s="1"/>
  <c r="H19" i="4"/>
  <c r="H27" i="7"/>
  <c r="H18" i="8" s="1"/>
  <c r="E6" i="2"/>
  <c r="E20" i="2"/>
  <c r="E22" i="2"/>
  <c r="E18" i="2"/>
  <c r="E13" i="6"/>
  <c r="E14" i="6"/>
  <c r="I12" i="4"/>
  <c r="I10" i="4"/>
  <c r="F7" i="5"/>
  <c r="F8" i="5"/>
  <c r="F5" i="6"/>
  <c r="F32" i="4"/>
  <c r="F39" i="4"/>
  <c r="F35" i="4"/>
  <c r="F36" i="4"/>
  <c r="F40" i="4"/>
  <c r="F29" i="5"/>
  <c r="F38" i="4"/>
  <c r="F37" i="4"/>
  <c r="C6" i="2"/>
  <c r="C22" i="2"/>
  <c r="C20" i="2"/>
  <c r="D6" i="2"/>
  <c r="C18" i="2"/>
  <c r="B31" i="6"/>
  <c r="B33" i="6" s="1"/>
  <c r="B27" i="6"/>
  <c r="B33" i="5"/>
  <c r="B34" i="5" s="1"/>
  <c r="B7" i="11"/>
  <c r="B9" i="2"/>
  <c r="B10" i="2" s="1"/>
  <c r="G31" i="4"/>
  <c r="G6" i="5"/>
  <c r="G17" i="2"/>
  <c r="G11" i="6"/>
  <c r="I22" i="5"/>
  <c r="I27" i="4"/>
  <c r="E11" i="5"/>
  <c r="E32" i="5"/>
  <c r="H23" i="5"/>
  <c r="H25" i="5" s="1"/>
  <c r="I17" i="5" l="1"/>
  <c r="I18" i="5" s="1"/>
  <c r="I19" i="5" s="1"/>
  <c r="C41" i="6"/>
  <c r="C24" i="11"/>
  <c r="C10" i="11"/>
  <c r="C8" i="11"/>
  <c r="C35" i="6"/>
  <c r="C29" i="11"/>
  <c r="C11" i="2"/>
  <c r="C34" i="6"/>
  <c r="C9" i="11"/>
  <c r="G5" i="6"/>
  <c r="G32" i="4"/>
  <c r="G39" i="4"/>
  <c r="G35" i="4"/>
  <c r="G29" i="5"/>
  <c r="G36" i="4"/>
  <c r="G40" i="4"/>
  <c r="G38" i="4"/>
  <c r="G37" i="4"/>
  <c r="H31" i="4"/>
  <c r="H6" i="5"/>
  <c r="H11" i="6"/>
  <c r="B34" i="6"/>
  <c r="B41" i="6"/>
  <c r="B14" i="2" s="1"/>
  <c r="B24" i="11"/>
  <c r="B10" i="11"/>
  <c r="B8" i="11"/>
  <c r="B9" i="11"/>
  <c r="B11" i="2"/>
  <c r="F37" i="6"/>
  <c r="F16" i="7" s="1"/>
  <c r="F12" i="6"/>
  <c r="F28" i="11"/>
  <c r="F23" i="6"/>
  <c r="F24" i="6" s="1"/>
  <c r="F26" i="7"/>
  <c r="F17" i="8" s="1"/>
  <c r="F10" i="7"/>
  <c r="C11" i="9"/>
  <c r="F25" i="7"/>
  <c r="F9" i="7"/>
  <c r="F6" i="6"/>
  <c r="F21" i="6"/>
  <c r="F22" i="6" s="1"/>
  <c r="F38" i="6"/>
  <c r="F8" i="8" s="1"/>
  <c r="F5" i="2"/>
  <c r="F19" i="6"/>
  <c r="F24" i="8"/>
  <c r="F15" i="11"/>
  <c r="E20" i="7"/>
  <c r="E26" i="6"/>
  <c r="G7" i="5"/>
  <c r="G8" i="5"/>
  <c r="D35" i="6"/>
  <c r="H24" i="5"/>
  <c r="F9" i="5"/>
  <c r="F10" i="5" s="1"/>
  <c r="I18" i="8"/>
  <c r="D12" i="2"/>
  <c r="D29" i="2"/>
  <c r="D28" i="2"/>
  <c r="D29" i="11"/>
  <c r="D14" i="2"/>
  <c r="D30" i="11"/>
  <c r="I23" i="5"/>
  <c r="I25" i="5" s="1"/>
  <c r="E24" i="7"/>
  <c r="E6" i="11"/>
  <c r="E15" i="6"/>
  <c r="I11" i="6"/>
  <c r="I31" i="4"/>
  <c r="I6" i="5"/>
  <c r="B29" i="2" l="1"/>
  <c r="B28" i="2"/>
  <c r="B12" i="2"/>
  <c r="F11" i="5"/>
  <c r="F32" i="5"/>
  <c r="E16" i="6"/>
  <c r="E28" i="6"/>
  <c r="E7" i="2"/>
  <c r="E8" i="2" s="1"/>
  <c r="F25" i="6"/>
  <c r="F20" i="6"/>
  <c r="I8" i="5"/>
  <c r="I7" i="5"/>
  <c r="I9" i="5" s="1"/>
  <c r="I10" i="5" s="1"/>
  <c r="I32" i="4"/>
  <c r="I5" i="6"/>
  <c r="I29" i="5"/>
  <c r="I39" i="4"/>
  <c r="I35" i="4"/>
  <c r="I40" i="4"/>
  <c r="I37" i="4"/>
  <c r="I38" i="4"/>
  <c r="I36" i="4"/>
  <c r="F13" i="8"/>
  <c r="F13" i="11"/>
  <c r="C28" i="2"/>
  <c r="C12" i="2"/>
  <c r="C13" i="2" s="1"/>
  <c r="C29" i="2"/>
  <c r="G9" i="5"/>
  <c r="G10" i="5" s="1"/>
  <c r="H7" i="5"/>
  <c r="H8" i="5"/>
  <c r="I24" i="5"/>
  <c r="F20" i="7"/>
  <c r="F13" i="6"/>
  <c r="F14" i="6"/>
  <c r="F7" i="8"/>
  <c r="C9" i="9"/>
  <c r="F16" i="11"/>
  <c r="F6" i="2"/>
  <c r="F20" i="2"/>
  <c r="F22" i="2"/>
  <c r="F18" i="2"/>
  <c r="G28" i="11"/>
  <c r="G23" i="6"/>
  <c r="G24" i="6" s="1"/>
  <c r="G26" i="7"/>
  <c r="G17" i="8" s="1"/>
  <c r="G10" i="7"/>
  <c r="D11" i="9"/>
  <c r="G25" i="7"/>
  <c r="G9" i="7"/>
  <c r="G6" i="6"/>
  <c r="G38" i="6"/>
  <c r="G8" i="8" s="1"/>
  <c r="G19" i="6"/>
  <c r="G21" i="6"/>
  <c r="G22" i="6" s="1"/>
  <c r="G5" i="2"/>
  <c r="G37" i="6"/>
  <c r="G12" i="6"/>
  <c r="G15" i="11"/>
  <c r="G24" i="8"/>
  <c r="E14" i="11"/>
  <c r="E16" i="8"/>
  <c r="E29" i="7"/>
  <c r="E37" i="7" s="1"/>
  <c r="H32" i="4"/>
  <c r="H5" i="6"/>
  <c r="H29" i="5"/>
  <c r="H39" i="4"/>
  <c r="H35" i="4"/>
  <c r="H40" i="4"/>
  <c r="H37" i="4"/>
  <c r="H36" i="4"/>
  <c r="H38" i="4"/>
  <c r="B6" i="9"/>
  <c r="E31" i="6"/>
  <c r="E27" i="6"/>
  <c r="E33" i="5"/>
  <c r="E34" i="5" s="1"/>
  <c r="E7" i="11"/>
  <c r="E9" i="2"/>
  <c r="E10" i="2" s="1"/>
  <c r="C14" i="2"/>
  <c r="C30" i="11"/>
  <c r="I11" i="5" l="1"/>
  <c r="I32" i="5"/>
  <c r="H9" i="5"/>
  <c r="H10" i="5" s="1"/>
  <c r="G6" i="2"/>
  <c r="G20" i="2"/>
  <c r="G22" i="2"/>
  <c r="G18" i="2"/>
  <c r="D9" i="9"/>
  <c r="G7" i="8"/>
  <c r="G16" i="11"/>
  <c r="I26" i="7"/>
  <c r="I10" i="7"/>
  <c r="F11" i="9"/>
  <c r="I25" i="7"/>
  <c r="I9" i="7"/>
  <c r="I6" i="6"/>
  <c r="I38" i="6"/>
  <c r="I8" i="8" s="1"/>
  <c r="I37" i="6"/>
  <c r="I12" i="6"/>
  <c r="I28" i="11"/>
  <c r="I23" i="6"/>
  <c r="I24" i="6" s="1"/>
  <c r="I21" i="6"/>
  <c r="I22" i="6" s="1"/>
  <c r="I19" i="6"/>
  <c r="I15" i="11"/>
  <c r="I24" i="8"/>
  <c r="G13" i="6"/>
  <c r="G14" i="6"/>
  <c r="B7" i="9"/>
  <c r="B8" i="9" s="1"/>
  <c r="B12" i="9" s="1"/>
  <c r="B14" i="9" s="1"/>
  <c r="G25" i="6"/>
  <c r="G20" i="6"/>
  <c r="D13" i="2"/>
  <c r="G16" i="7"/>
  <c r="G11" i="5"/>
  <c r="G32" i="5"/>
  <c r="E32" i="6"/>
  <c r="E33" i="6" s="1"/>
  <c r="F26" i="6"/>
  <c r="F24" i="7"/>
  <c r="F6" i="11"/>
  <c r="F15" i="6"/>
  <c r="G13" i="8"/>
  <c r="G13" i="11"/>
  <c r="H26" i="7"/>
  <c r="H17" i="8" s="1"/>
  <c r="H10" i="7"/>
  <c r="E11" i="9"/>
  <c r="H25" i="7"/>
  <c r="H9" i="7"/>
  <c r="H38" i="6"/>
  <c r="H8" i="8" s="1"/>
  <c r="H19" i="6"/>
  <c r="H21" i="6"/>
  <c r="H22" i="6" s="1"/>
  <c r="H37" i="6"/>
  <c r="H12" i="6"/>
  <c r="H28" i="11"/>
  <c r="H6" i="6"/>
  <c r="H23" i="6"/>
  <c r="H24" i="6" s="1"/>
  <c r="H24" i="8"/>
  <c r="H15" i="11"/>
  <c r="E8" i="11" l="1"/>
  <c r="E11" i="2"/>
  <c r="E6" i="8"/>
  <c r="E20" i="8" s="1"/>
  <c r="E35" i="6"/>
  <c r="E34" i="6"/>
  <c r="E29" i="11"/>
  <c r="E41" i="6"/>
  <c r="E40" i="7"/>
  <c r="F16" i="6"/>
  <c r="F28" i="6"/>
  <c r="F7" i="2"/>
  <c r="F8" i="2" s="1"/>
  <c r="I17" i="8"/>
  <c r="H13" i="6"/>
  <c r="H14" i="6"/>
  <c r="G26" i="6"/>
  <c r="I13" i="6"/>
  <c r="I14" i="6"/>
  <c r="I13" i="8"/>
  <c r="I13" i="11"/>
  <c r="I20" i="6"/>
  <c r="I25" i="6"/>
  <c r="H13" i="8"/>
  <c r="H13" i="11"/>
  <c r="G24" i="7"/>
  <c r="G15" i="6"/>
  <c r="G6" i="11"/>
  <c r="F14" i="11"/>
  <c r="F16" i="8"/>
  <c r="F29" i="7"/>
  <c r="F37" i="7" s="1"/>
  <c r="E9" i="9"/>
  <c r="H7" i="8"/>
  <c r="H16" i="11"/>
  <c r="C6" i="9"/>
  <c r="F31" i="6"/>
  <c r="F27" i="6"/>
  <c r="F33" i="5"/>
  <c r="F34" i="5" s="1"/>
  <c r="F7" i="11"/>
  <c r="F9" i="2"/>
  <c r="F10" i="2" s="1"/>
  <c r="H20" i="6"/>
  <c r="H25" i="6"/>
  <c r="I7" i="8"/>
  <c r="F9" i="9"/>
  <c r="I16" i="11"/>
  <c r="H16" i="7"/>
  <c r="G20" i="7"/>
  <c r="H11" i="5"/>
  <c r="H32" i="5"/>
  <c r="I26" i="6"/>
  <c r="G28" i="6" l="1"/>
  <c r="G7" i="2"/>
  <c r="G8" i="2" s="1"/>
  <c r="G16" i="6"/>
  <c r="E6" i="7"/>
  <c r="E8" i="7" s="1"/>
  <c r="E26" i="2"/>
  <c r="E28" i="2" s="1"/>
  <c r="E42" i="7"/>
  <c r="E24" i="11"/>
  <c r="E26" i="8"/>
  <c r="I16" i="7"/>
  <c r="I20" i="7" s="1"/>
  <c r="H20" i="7"/>
  <c r="G16" i="8"/>
  <c r="G29" i="7"/>
  <c r="G37" i="7" s="1"/>
  <c r="G14" i="11"/>
  <c r="F32" i="6"/>
  <c r="F33" i="6" s="1"/>
  <c r="I24" i="7"/>
  <c r="I6" i="11"/>
  <c r="I15" i="6"/>
  <c r="H26" i="6"/>
  <c r="D6" i="9"/>
  <c r="G31" i="6"/>
  <c r="G27" i="6"/>
  <c r="G33" i="5"/>
  <c r="G34" i="5" s="1"/>
  <c r="G7" i="11"/>
  <c r="G9" i="2"/>
  <c r="G10" i="2" s="1"/>
  <c r="E30" i="11"/>
  <c r="E14" i="2"/>
  <c r="E9" i="11"/>
  <c r="C7" i="9"/>
  <c r="C8" i="9" s="1"/>
  <c r="C12" i="9" s="1"/>
  <c r="C14" i="9" s="1"/>
  <c r="I7" i="11"/>
  <c r="F6" i="9"/>
  <c r="I31" i="6"/>
  <c r="I27" i="6"/>
  <c r="I33" i="5"/>
  <c r="I34" i="5" s="1"/>
  <c r="E12" i="2"/>
  <c r="E13" i="2" s="1"/>
  <c r="H24" i="7"/>
  <c r="H15" i="6"/>
  <c r="H6" i="11"/>
  <c r="F8" i="11" l="1"/>
  <c r="F6" i="8"/>
  <c r="F20" i="8" s="1"/>
  <c r="F35" i="6"/>
  <c r="F29" i="11"/>
  <c r="F34" i="6"/>
  <c r="F41" i="6"/>
  <c r="F11" i="2"/>
  <c r="F40" i="7"/>
  <c r="F9" i="11" s="1"/>
  <c r="H29" i="7"/>
  <c r="H37" i="7" s="1"/>
  <c r="H14" i="11"/>
  <c r="H16" i="8"/>
  <c r="H28" i="6"/>
  <c r="H16" i="6"/>
  <c r="E27" i="8"/>
  <c r="E25" i="11"/>
  <c r="E21" i="11"/>
  <c r="E11" i="7"/>
  <c r="E27" i="2"/>
  <c r="G32" i="6"/>
  <c r="G33" i="6" s="1"/>
  <c r="D7" i="9"/>
  <c r="D8" i="9" s="1"/>
  <c r="D12" i="9" s="1"/>
  <c r="D14" i="9" s="1"/>
  <c r="H7" i="11"/>
  <c r="E6" i="9"/>
  <c r="H27" i="6"/>
  <c r="H31" i="6"/>
  <c r="H33" i="5"/>
  <c r="H34" i="5" s="1"/>
  <c r="I32" i="6"/>
  <c r="I33" i="6" s="1"/>
  <c r="I28" i="6"/>
  <c r="I16" i="6"/>
  <c r="F7" i="9"/>
  <c r="F8" i="9" s="1"/>
  <c r="F12" i="9" s="1"/>
  <c r="I29" i="7"/>
  <c r="I37" i="7" s="1"/>
  <c r="I14" i="11"/>
  <c r="I16" i="8"/>
  <c r="B16" i="9" l="1"/>
  <c r="B17" i="9" s="1"/>
  <c r="F14" i="9"/>
  <c r="G6" i="8"/>
  <c r="G20" i="8" s="1"/>
  <c r="G35" i="6"/>
  <c r="G29" i="11"/>
  <c r="G41" i="6"/>
  <c r="G8" i="11"/>
  <c r="G34" i="6"/>
  <c r="G11" i="2"/>
  <c r="F30" i="11"/>
  <c r="F14" i="2"/>
  <c r="H32" i="6"/>
  <c r="H33" i="6" s="1"/>
  <c r="E7" i="9"/>
  <c r="E8" i="9" s="1"/>
  <c r="E12" i="9" s="1"/>
  <c r="E14" i="9" s="1"/>
  <c r="G40" i="7"/>
  <c r="G9" i="11" s="1"/>
  <c r="F6" i="7"/>
  <c r="F8" i="7" s="1"/>
  <c r="F26" i="2"/>
  <c r="F28" i="2" s="1"/>
  <c r="F42" i="7"/>
  <c r="F12" i="2"/>
  <c r="F13" i="2" s="1"/>
  <c r="I6" i="8"/>
  <c r="I20" i="8" s="1"/>
  <c r="I34" i="6"/>
  <c r="I8" i="11"/>
  <c r="I41" i="6"/>
  <c r="E20" i="11"/>
  <c r="E21" i="7"/>
  <c r="F24" i="11"/>
  <c r="F26" i="8"/>
  <c r="D8" i="10" l="1"/>
  <c r="C5" i="10"/>
  <c r="D6" i="10"/>
  <c r="C8" i="10"/>
  <c r="C6" i="10"/>
  <c r="D7" i="10"/>
  <c r="B8" i="10"/>
  <c r="H7" i="10"/>
  <c r="C7" i="10"/>
  <c r="D9" i="10"/>
  <c r="B7" i="10"/>
  <c r="H6" i="10"/>
  <c r="F7" i="10"/>
  <c r="B6" i="10"/>
  <c r="E8" i="10"/>
  <c r="F9" i="10"/>
  <c r="H5" i="10"/>
  <c r="G6" i="10"/>
  <c r="B5" i="10"/>
  <c r="G5" i="10"/>
  <c r="E9" i="10"/>
  <c r="B20" i="9"/>
  <c r="F5" i="10"/>
  <c r="G7" i="10"/>
  <c r="C9" i="10"/>
  <c r="H9" i="10"/>
  <c r="E6" i="10"/>
  <c r="F6" i="10"/>
  <c r="F8" i="10"/>
  <c r="B9" i="10"/>
  <c r="E5" i="10"/>
  <c r="D5" i="10"/>
  <c r="G9" i="10"/>
  <c r="E7" i="10"/>
  <c r="H8" i="10"/>
  <c r="G8" i="10"/>
  <c r="H6" i="8"/>
  <c r="H20" i="8" s="1"/>
  <c r="H35" i="6"/>
  <c r="H9" i="11"/>
  <c r="H29" i="11"/>
  <c r="H34" i="6"/>
  <c r="H41" i="6"/>
  <c r="H30" i="11" s="1"/>
  <c r="H8" i="11"/>
  <c r="I29" i="11"/>
  <c r="I35" i="6"/>
  <c r="I26" i="8"/>
  <c r="I24" i="11"/>
  <c r="F27" i="8"/>
  <c r="F25" i="11"/>
  <c r="G30" i="11"/>
  <c r="G14" i="2"/>
  <c r="H40" i="7"/>
  <c r="G6" i="7"/>
  <c r="G8" i="7" s="1"/>
  <c r="G26" i="2"/>
  <c r="G42" i="7"/>
  <c r="F21" i="11"/>
  <c r="F11" i="7"/>
  <c r="F27" i="2"/>
  <c r="G28" i="2"/>
  <c r="G12" i="2"/>
  <c r="G13" i="2" s="1"/>
  <c r="B21" i="9"/>
  <c r="B18" i="9"/>
  <c r="E25" i="2"/>
  <c r="E29" i="2" s="1"/>
  <c r="E19" i="11"/>
  <c r="E43" i="7"/>
  <c r="E10" i="11"/>
  <c r="G26" i="8"/>
  <c r="G24" i="11"/>
  <c r="I30" i="11" l="1"/>
  <c r="G21" i="11"/>
  <c r="G11" i="7"/>
  <c r="G27" i="2"/>
  <c r="I40" i="7"/>
  <c r="H6" i="7"/>
  <c r="H8" i="7" s="1"/>
  <c r="H42" i="7"/>
  <c r="H26" i="8"/>
  <c r="H24" i="11"/>
  <c r="F20" i="11"/>
  <c r="F21" i="7"/>
  <c r="G25" i="11"/>
  <c r="G27" i="8"/>
  <c r="I25" i="11"/>
  <c r="I27" i="8"/>
  <c r="B22" i="9"/>
  <c r="B25" i="9" s="1"/>
  <c r="B27" i="9" s="1"/>
  <c r="I6" i="7" l="1"/>
  <c r="I8" i="7" s="1"/>
  <c r="I9" i="11"/>
  <c r="I42" i="7"/>
  <c r="F19" i="11"/>
  <c r="F43" i="7"/>
  <c r="F25" i="2"/>
  <c r="F29" i="2" s="1"/>
  <c r="F10" i="11"/>
  <c r="H25" i="11"/>
  <c r="H27" i="8"/>
  <c r="H21" i="11"/>
  <c r="H11" i="7"/>
  <c r="G21" i="7"/>
  <c r="G20" i="11"/>
  <c r="G19" i="11" l="1"/>
  <c r="G43" i="7"/>
  <c r="G25" i="2"/>
  <c r="G29" i="2" s="1"/>
  <c r="G10" i="11"/>
  <c r="H21" i="7"/>
  <c r="H20" i="11"/>
  <c r="I21" i="11"/>
  <c r="I11" i="7"/>
  <c r="I21" i="7" l="1"/>
  <c r="I20" i="11"/>
  <c r="H19" i="11"/>
  <c r="H43" i="7"/>
  <c r="H10" i="11"/>
  <c r="I19" i="11" l="1"/>
  <c r="I43" i="7"/>
  <c r="I10" i="11"/>
</calcChain>
</file>

<file path=xl/sharedStrings.xml><?xml version="1.0" encoding="utf-8"?>
<sst xmlns="http://schemas.openxmlformats.org/spreadsheetml/2006/main" count="714" uniqueCount="461">
  <si>
    <t>Alphabet Inc. (GOOG/GOOGL)</t>
  </si>
  <si>
    <t>Segment-Driven DCF Model  |  v5  |  2026-02-10</t>
  </si>
  <si>
    <t>数据来源 Data Sources</t>
  </si>
  <si>
    <t>Alphabet 2025 10-K + Q4'25 Earnings Call + FRED</t>
  </si>
  <si>
    <t>CapEx 2026 指引</t>
  </si>
  <si>
    <t>$75B/quarter → annualized ~$180B (earnings call 2026-02-04)</t>
  </si>
  <si>
    <t>模型特色 Key Feature</t>
  </si>
  <si>
    <t>11-Tab model: 三表联动 (PL + BS + CF) + Segment P&amp;L 交叉验证</t>
  </si>
  <si>
    <t xml:space="preserve">  </t>
  </si>
  <si>
    <t>Dual-layer P&amp;L: Segment_PL (by division) + Consolidated_PL (by cost type)</t>
  </si>
  <si>
    <t>使用步骤 HOW TO USE</t>
  </si>
  <si>
    <t>Step 1</t>
  </si>
  <si>
    <t>Go to Assumptions → edit BLUE cells only (蓝底单元格)</t>
  </si>
  <si>
    <t>Step 2</t>
  </si>
  <si>
    <t>Switch scenario: Assumptions!B2 → Base / Bull / Bear</t>
  </si>
  <si>
    <t>Step 3</t>
  </si>
  <si>
    <t>All tabs auto-update: Revenue → Segment PL → Consolidated PL → BS → CF → DCF</t>
  </si>
  <si>
    <t>Step 4</t>
  </si>
  <si>
    <t>Check Segment_PL cross-check row: difference should = 0</t>
  </si>
  <si>
    <t>Step 5</t>
  </si>
  <si>
    <t>Check BS balance check row: Total Assets = Total L&amp;E</t>
  </si>
  <si>
    <t>Step 6</t>
  </si>
  <si>
    <t>Every assumption shows HISTORICAL values (2023-2025) for reference</t>
  </si>
  <si>
    <t>Step 7</t>
  </si>
  <si>
    <t>Notes column (col J) explains prediction logic for every row</t>
  </si>
  <si>
    <t>Alphabet Inc. (GOOG) - 财务摘要 Executive Summary</t>
  </si>
  <si>
    <t>单位：百万美元（USD Million）</t>
  </si>
  <si>
    <t>核心财务指标 Key Financial Highlights</t>
  </si>
  <si>
    <t>2023A</t>
  </si>
  <si>
    <t>2024A</t>
  </si>
  <si>
    <t>2025A</t>
  </si>
  <si>
    <t>2026E</t>
  </si>
  <si>
    <t>2027E</t>
  </si>
  <si>
    <t>2028E</t>
  </si>
  <si>
    <t>说明 Notes</t>
  </si>
  <si>
    <t>总收入 Total Revenue</t>
  </si>
  <si>
    <t>链接自Consolidated_PL</t>
  </si>
  <si>
    <t xml:space="preserve">  YoY增速 %</t>
  </si>
  <si>
    <t>毛利润 Gross Profit</t>
  </si>
  <si>
    <t xml:space="preserve">  毛利率 GPM %</t>
  </si>
  <si>
    <t>营业利润 EBIT</t>
  </si>
  <si>
    <t xml:space="preserve">  营业利润率 OPM %</t>
  </si>
  <si>
    <t>净利润 Net Income</t>
  </si>
  <si>
    <t xml:space="preserve">  净利率 NPM %</t>
  </si>
  <si>
    <t xml:space="preserve">  NI YoY %</t>
  </si>
  <si>
    <t>稀释EPS</t>
  </si>
  <si>
    <t>分部收入结构 Revenue by Segment</t>
  </si>
  <si>
    <t>Google Services Total</t>
  </si>
  <si>
    <t xml:space="preserve">  占比 %</t>
  </si>
  <si>
    <t>Google Cloud</t>
  </si>
  <si>
    <t>Other Bets</t>
  </si>
  <si>
    <t>资产负债核心指标 Balance Sheet Highlights</t>
  </si>
  <si>
    <t>说明</t>
  </si>
  <si>
    <t>总资产 Total Assets</t>
  </si>
  <si>
    <t>股东权益 Total Equity</t>
  </si>
  <si>
    <t>现金及证券 Cash &amp; Securities</t>
  </si>
  <si>
    <t>ROE 净资产收益率</t>
  </si>
  <si>
    <t>净利润/权益</t>
  </si>
  <si>
    <t>ROA 总资产收益率</t>
  </si>
  <si>
    <t>净利润/总资产</t>
  </si>
  <si>
    <t>关键投资亮点 Key Investment Highlights</t>
  </si>
  <si>
    <t>✓ AI驱动搜索广告核心引擎，Search+YouTube贡献&gt;65%收入</t>
  </si>
  <si>
    <t>✓ Google Cloud 48% YoY增长(Q4'25)，利润率从5%→24%快速提升</t>
  </si>
  <si>
    <t>✓ AI CapEx高峰投资($180B/2026)确立长期竞争壁垒</t>
  </si>
  <si>
    <t>✓ 稳健股东回报：年回购~$50B + 股息$0.88/share</t>
  </si>
  <si>
    <t>✓ Net cash &gt;$80B，资产负债表极其稳健</t>
  </si>
  <si>
    <t>⚠ 风险：AI CapEx回报不确定、DOJ反垄断、Cloud竞争激烈</t>
  </si>
  <si>
    <t>数据图例 Data Legend:</t>
  </si>
  <si>
    <t xml:space="preserve">  蓝色字体 Blue Font = 财报原始数据 Hardcoded from financials</t>
  </si>
  <si>
    <t xml:space="preserve">  绿色字体 Green Font = 链接自其他工作表 Links from other sheets</t>
  </si>
  <si>
    <t xml:space="preserve">  蓝底深蓝字体 Blue Fill = 可编辑假设 Editable assumption inputs</t>
  </si>
  <si>
    <t xml:space="preserve">  黄底粗体 Yellow Fill = 关键输出 Key output rows</t>
  </si>
  <si>
    <t xml:space="preserve">  黑色字体 Black Font = 公式计算 Calculated from formulas</t>
  </si>
  <si>
    <t>数据来源 Data Sources:</t>
  </si>
  <si>
    <t xml:space="preserve">  • Alphabet 2025 10-K Annual Report (filed Feb 4, 2026) - Consolidated Financial Statements pp.48-52</t>
  </si>
  <si>
    <t xml:space="preserve">  • Alphabet 2025 10-K Note 15: Segment Information (Google Services, Cloud, Other Bets)</t>
  </si>
  <si>
    <t xml:space="preserve">  • Q4 2025 Earnings Call (Feb 4, 2026): CapEx 2026 guidance $75B (single quarter) → annualized ~$180B</t>
  </si>
  <si>
    <t xml:space="preserve">  • 10Y UST yield ~4.2% (Feb 2026), Fed 2% long-term inflation target</t>
  </si>
  <si>
    <t>Assumptions &amp; Drivers 假设与驱动</t>
  </si>
  <si>
    <t>Scenario 情景</t>
  </si>
  <si>
    <t>Base</t>
  </si>
  <si>
    <t>Parameter 参数</t>
  </si>
  <si>
    <t>Bull</t>
  </si>
  <si>
    <t>Bear</t>
  </si>
  <si>
    <t>Selected</t>
  </si>
  <si>
    <t>Notes / 预测逻辑</t>
  </si>
  <si>
    <t>WACC 加权平均资本成本参数</t>
  </si>
  <si>
    <t>Risk-Free Rate 无风险利率 (10Y UST)</t>
  </si>
  <si>
    <t>10Y美债收益率 ~4.2% (Feb 2026)</t>
  </si>
  <si>
    <t>Equity Beta 权益Beta</t>
  </si>
  <si>
    <t>参考Bloomberg/Reuters 5Y weekly beta</t>
  </si>
  <si>
    <t>Equity Risk Premium ERP 股权风险溢价</t>
  </si>
  <si>
    <t>Damodaran 2026 ERP estimate</t>
  </si>
  <si>
    <t>Pre-tax Cost of Debt Kd 税前债务成本</t>
  </si>
  <si>
    <t>参考Alphabet最新债券到期收益率</t>
  </si>
  <si>
    <t>Effective Tax Rate 有效税率</t>
  </si>
  <si>
    <t>2023-2025历史税率参考</t>
  </si>
  <si>
    <t>Debt / Total Capital 债务占比</t>
  </si>
  <si>
    <t>Alphabet资本结构以权益为主</t>
  </si>
  <si>
    <t>Terminal Growth Rate g 永续增长率</t>
  </si>
  <si>
    <t>约=长期GDP增长+通胀</t>
  </si>
  <si>
    <t>Derived WACC 推导的WACC</t>
  </si>
  <si>
    <t>Ke = Rf + Beta × ERP 股权成本</t>
  </si>
  <si>
    <t>After-tax Kd 税后债务成本</t>
  </si>
  <si>
    <t>WACC 加权平均资本成本</t>
  </si>
  <si>
    <t>Valuation Bridge 估值桥接</t>
  </si>
  <si>
    <t>Cash &amp; Marketable Securities 现金及有价证券 (mm)</t>
  </si>
  <si>
    <t>年末现金+短期证券合计</t>
  </si>
  <si>
    <t>Total Debt 总债务 (mm)</t>
  </si>
  <si>
    <t>短期+长期债务</t>
  </si>
  <si>
    <t>Diluted Shares 稀释股数 (mm)</t>
  </si>
  <si>
    <t>Source: 10-K p.49</t>
  </si>
  <si>
    <t>Revenue Growth by Segment 分部收入增长率 (Base块)</t>
  </si>
  <si>
    <t>Segment</t>
  </si>
  <si>
    <t>2029E</t>
  </si>
  <si>
    <t>2030E</t>
  </si>
  <si>
    <t>Google Search &amp; other</t>
  </si>
  <si>
    <t>搜索广告核心引擎</t>
  </si>
  <si>
    <t>YouTube ads</t>
  </si>
  <si>
    <t>AI-driven Shorts增长</t>
  </si>
  <si>
    <t>Google Network</t>
  </si>
  <si>
    <t>持续缩减</t>
  </si>
  <si>
    <t>Subs, Platforms &amp; Devices</t>
  </si>
  <si>
    <t>YouTube Premium/硬件增长</t>
  </si>
  <si>
    <t>AI Cloud高增长引擎</t>
  </si>
  <si>
    <t>Waymo等前沿业务</t>
  </si>
  <si>
    <t>Revenue Growth - Bull Case 乐观情景</t>
  </si>
  <si>
    <t>Revenue Growth - Bear Case 悲观情景</t>
  </si>
  <si>
    <t>Segment Cost Structure 分部成本结构 (with Historical)</t>
  </si>
  <si>
    <t>Cost Item 成本项</t>
  </si>
  <si>
    <t>Notes</t>
  </si>
  <si>
    <t>Services: Emp Comp % 员工薪酬占比</t>
  </si>
  <si>
    <t>薪酬含SBC+福利，Note15</t>
  </si>
  <si>
    <t>Services: Other Costs % 其他费用占比</t>
  </si>
  <si>
    <t>含TAC/内容采购/基础设施</t>
  </si>
  <si>
    <t>Cloud: Emp Comp % 员工薪酬占比</t>
  </si>
  <si>
    <t>Cloud人效持续改善</t>
  </si>
  <si>
    <t>Cloud: Other Costs % 其他费用占比</t>
  </si>
  <si>
    <t>基础设施和第三方服务</t>
  </si>
  <si>
    <t>Other Bets: Op Margin 经营利润率</t>
  </si>
  <si>
    <t>前沿业务持续亏损</t>
  </si>
  <si>
    <t>Alphabet-level Costs 公司级费用 (mm)</t>
  </si>
  <si>
    <t>未分配AI研发+企业费用</t>
  </si>
  <si>
    <t>Consolidated Cost Structure 合并成本率</t>
  </si>
  <si>
    <t>Cost Item</t>
  </si>
  <si>
    <t>TAC Rate 流量获取成本率 (% Ad Rev)</t>
  </si>
  <si>
    <t>支付给合作伙伴的分成</t>
  </si>
  <si>
    <t>Other COGS 其他营业成本 (% Total Rev)</t>
  </si>
  <si>
    <t>基础设施折旧/内容/数据中心</t>
  </si>
  <si>
    <t>R&amp;D 研发费用 (% Total Rev)</t>
  </si>
  <si>
    <t>AI投入持续，但规模效应显现</t>
  </si>
  <si>
    <t>S&amp;M 销售与市场 (% Total Rev)</t>
  </si>
  <si>
    <t>效率提升，销售费率下降</t>
  </si>
  <si>
    <t>G&amp;A 管理费用 (% Total Rev)</t>
  </si>
  <si>
    <t>2025含一次性诉讼，正常化后下降</t>
  </si>
  <si>
    <t>D&amp;A 折旧摊销 (% Rev)</t>
  </si>
  <si>
    <t>CapEx高增长推动D&amp;A上升</t>
  </si>
  <si>
    <t>SBC 股权激励 (% Rev)</t>
  </si>
  <si>
    <t>占比稳步下降</t>
  </si>
  <si>
    <t>NWC 净营运资本变动 (% incr Rev)</t>
  </si>
  <si>
    <t>科技公司NWC需求低</t>
  </si>
  <si>
    <t>CapEx 资本支出 (USD mm) - 2026 per mgmt guidance ~$180B</t>
  </si>
  <si>
    <t>Year</t>
  </si>
  <si>
    <t>2026E CapEx</t>
  </si>
  <si>
    <t>Q4'25 Earnings: $75B/Q → ~$180B/yr</t>
  </si>
  <si>
    <t>2027E CapEx</t>
  </si>
  <si>
    <t>AI投资高峰后逐步回落</t>
  </si>
  <si>
    <t>2028E CapEx</t>
  </si>
  <si>
    <t>资本密集度开始降低</t>
  </si>
  <si>
    <t>2029E CapEx</t>
  </si>
  <si>
    <t>CapEx周期转为维护型</t>
  </si>
  <si>
    <t>2030E CapEx</t>
  </si>
  <si>
    <t>稳态CapEx水平</t>
  </si>
  <si>
    <t>Capital Return 资本回报</t>
  </si>
  <si>
    <t>Annual Buyback 年度回购 (mm)</t>
  </si>
  <si>
    <t>2025因发债减少回购，2026恢复</t>
  </si>
  <si>
    <t>Dividend per Share 每股股息 (annual)</t>
  </si>
  <si>
    <t>2024年首次派息$0.60/share</t>
  </si>
  <si>
    <t>Balance Sheet Assumptions 资产负债表假设</t>
  </si>
  <si>
    <t>Item</t>
  </si>
  <si>
    <t>AR Days 应收账款周转天数</t>
  </si>
  <si>
    <t>AR/Revenue×365</t>
  </si>
  <si>
    <t>AP Days 应付账款周转天数 (of COGS)</t>
  </si>
  <si>
    <t>AP/COGS×365</t>
  </si>
  <si>
    <t>AccComp 应计薪酬 (% Rev)</t>
  </si>
  <si>
    <t>员工薪酬应计占收入比</t>
  </si>
  <si>
    <t>AccExp+Other 应计费用 (% Rev)</t>
  </si>
  <si>
    <t>运营应计费用占收入比</t>
  </si>
  <si>
    <t>RevShare 应计收入分成 (% Ad Rev)</t>
  </si>
  <si>
    <t>广告收入分成应计</t>
  </si>
  <si>
    <t>DefRev 递延收入增速 %</t>
  </si>
  <si>
    <t>Cloud预付合同增长</t>
  </si>
  <si>
    <t>OpLease 经营租赁资产增速 %</t>
  </si>
  <si>
    <t>办公/数据中心租赁</t>
  </si>
  <si>
    <t>NonMktSec 非上市证券增速 %</t>
  </si>
  <si>
    <t>2025因估值调增大幅增长</t>
  </si>
  <si>
    <t>Revenue Build 分部收入构建 (USD mm)</t>
  </si>
  <si>
    <t>单位：百万美元 | Cloud Q4'25 = $17.7B (48% YoY)</t>
  </si>
  <si>
    <t>Google Advertising 谷歌广告</t>
  </si>
  <si>
    <t>搜索广告核心收入，AI Overview推动</t>
  </si>
  <si>
    <t xml:space="preserve">  yoy %</t>
  </si>
  <si>
    <t>Shorts变现+Connected TV增长</t>
  </si>
  <si>
    <t>持续萎缩，向自有平台转移</t>
  </si>
  <si>
    <t>Total Google Advertising 广告合计</t>
  </si>
  <si>
    <t>Search+YouTube+Network</t>
  </si>
  <si>
    <t>Subscriptions, Platforms &amp; Devices 订阅/平台/设备</t>
  </si>
  <si>
    <t>YouTube Premium/Music + Pixel设备</t>
  </si>
  <si>
    <t>Google Services Total 谷歌服务合计</t>
  </si>
  <si>
    <t>广告合计+订阅/平台/设备</t>
  </si>
  <si>
    <t>Google Cloud 谷歌云</t>
  </si>
  <si>
    <t>GCP+Workspace，AI Cloud核心增长引擎</t>
  </si>
  <si>
    <t>Other Bets 其他创新业务</t>
  </si>
  <si>
    <t>Waymo/Verily等前沿业务</t>
  </si>
  <si>
    <t>Hedging gains (losses) 外汇对冲</t>
  </si>
  <si>
    <t>假设为零 Assume zero</t>
  </si>
  <si>
    <t>Total Revenue 总收入</t>
  </si>
  <si>
    <t>Services+Cloud+OtherBets+Hedging</t>
  </si>
  <si>
    <t>Revenue Mix % 收入结构</t>
  </si>
  <si>
    <t xml:space="preserve">  Google Search &amp; other</t>
  </si>
  <si>
    <t xml:space="preserve">  YouTube ads</t>
  </si>
  <si>
    <t xml:space="preserve">  Google Network</t>
  </si>
  <si>
    <t xml:space="preserve">  Subs, Platforms &amp; Devices</t>
  </si>
  <si>
    <t xml:space="preserve">  Google Cloud</t>
  </si>
  <si>
    <t xml:space="preserve">  Other Bets</t>
  </si>
  <si>
    <t>Segment P&amp;L 分部利润表 (USD mm)</t>
  </si>
  <si>
    <t>Revenue / Costs / Operating Income by Division</t>
  </si>
  <si>
    <t>Google Services 谷歌服务</t>
  </si>
  <si>
    <t>Revenue 收入</t>
  </si>
  <si>
    <t>链接自Segment_Revenue</t>
  </si>
  <si>
    <t>(-) Employee Comp 员工薪酬</t>
  </si>
  <si>
    <t>Revenue×Emp Comp%, 含SBC+福利 (Note 15)</t>
  </si>
  <si>
    <t>(-) Other Costs 其他费用</t>
  </si>
  <si>
    <t>含TAC/内容采购/基础设施/设备成本</t>
  </si>
  <si>
    <t>Total Costs 总成本</t>
  </si>
  <si>
    <t>Operating Income 经营利润</t>
  </si>
  <si>
    <t>Revenue-Total Costs</t>
  </si>
  <si>
    <t xml:space="preserve">  Op Margin 经营利润率</t>
  </si>
  <si>
    <t>Revenue×Cloud Emp%, 人效持续改善</t>
  </si>
  <si>
    <t>含基础设施/第三方服务费</t>
  </si>
  <si>
    <t>Cloud利润率快速提升</t>
  </si>
  <si>
    <t>Operating Income (Loss) 经营利润(亏损)</t>
  </si>
  <si>
    <t>Revenue×OI Margin%, 前沿业务持续亏损</t>
  </si>
  <si>
    <t>Implied Costs 隐含成本 (=Rev-OI)</t>
  </si>
  <si>
    <t xml:space="preserve">  Op Margin</t>
  </si>
  <si>
    <t>Alphabet-level 未分配(AI研发+企业费用)</t>
  </si>
  <si>
    <t>Unallocated Costs 未分配费用</t>
  </si>
  <si>
    <t>未分配AI研发+企业管理费用</t>
  </si>
  <si>
    <t xml:space="preserve">  % of Total Revenue</t>
  </si>
  <si>
    <t>Cross-Check 交叉验证: Sum of Segment OI vs Consolidated EBIT</t>
  </si>
  <si>
    <t>Sum of Segment OI 分部OI汇总</t>
  </si>
  <si>
    <t>Services+Cloud+OtherBets+Alphabet-level</t>
  </si>
  <si>
    <t>Consolidated EBIT (from Consolidated_PL)</t>
  </si>
  <si>
    <t>Difference 差异 (should = 0)</t>
  </si>
  <si>
    <t>应为0，否则分部与合并口径不一致</t>
  </si>
  <si>
    <t>Consolidated Income Statement 合并利润表 (USD mm)</t>
  </si>
  <si>
    <t xml:space="preserve">  Google Advertising Rev (memo) 广告收入</t>
  </si>
  <si>
    <t>用于计算TAC</t>
  </si>
  <si>
    <t>Cost of Revenues 营业成本 (COGS)</t>
  </si>
  <si>
    <t xml:space="preserve">  TAC 流量获取成本</t>
  </si>
  <si>
    <t>Ad Revenue×TAC Rate</t>
  </si>
  <si>
    <t xml:space="preserve">    TAC rate (% of Ad Rev)</t>
  </si>
  <si>
    <t xml:space="preserve">  Other Cost of Revenues 其他营业成本</t>
  </si>
  <si>
    <t>基础设施折旧/内容/数据中心运营</t>
  </si>
  <si>
    <t xml:space="preserve">    Other COGS %</t>
  </si>
  <si>
    <t>Total COGS 营业成本合计</t>
  </si>
  <si>
    <t>Gross Profit 毛利润</t>
  </si>
  <si>
    <t>Revenue-COGS</t>
  </si>
  <si>
    <t xml:space="preserve">  Gross Margin 毛利率</t>
  </si>
  <si>
    <t>Operating Expenses 营业费用 (OpEx)</t>
  </si>
  <si>
    <t xml:space="preserve">  R&amp;D 研发费用</t>
  </si>
  <si>
    <t>AI+Cloud持续投入，规模效应显现</t>
  </si>
  <si>
    <t xml:space="preserve">    R&amp;D 研发费用 %</t>
  </si>
  <si>
    <t xml:space="preserve">  S&amp;M 销售与营销费用</t>
  </si>
  <si>
    <t>效率提升，费率持续下降</t>
  </si>
  <si>
    <t xml:space="preserve">    S&amp;M 销售与营销费用 %</t>
  </si>
  <si>
    <t xml:space="preserve">  G&amp;A 管理费用 (含一次性项目)</t>
  </si>
  <si>
    <t>2025含DOJ诉讼拨备，正常化后下降</t>
  </si>
  <si>
    <t xml:space="preserve">    G&amp;A 管理费用 %</t>
  </si>
  <si>
    <t>Estimated Total OpEx (R&amp;D+S&amp;M+G&amp;A) 营业费用合计</t>
  </si>
  <si>
    <t>参考性合计，EBIT由分部OI驱动</t>
  </si>
  <si>
    <t>EBIT 经营利润 (=Sum of Segment OI)</t>
  </si>
  <si>
    <t>分部驱动：链接自Segment_PL汇总OI</t>
  </si>
  <si>
    <t xml:space="preserve">  EBIT Margin 经营利润率</t>
  </si>
  <si>
    <t xml:space="preserve">  Implied OpEx (=GP-EBIT) 隐含OpEx</t>
  </si>
  <si>
    <t>OI&amp;E 其他收入/(支出)</t>
  </si>
  <si>
    <t>2025含$24B非上市证券估值收益(一次性)</t>
  </si>
  <si>
    <t>Pre-tax Income 税前利润</t>
  </si>
  <si>
    <t>Income Tax 所得税</t>
  </si>
  <si>
    <t>Pre-tax Income×ETR</t>
  </si>
  <si>
    <t>Net Income 净利润</t>
  </si>
  <si>
    <t>Pre-tax - Tax</t>
  </si>
  <si>
    <t xml:space="preserve">  Net Margin 净利率</t>
  </si>
  <si>
    <t xml:space="preserve">  NI yoy %</t>
  </si>
  <si>
    <t>D&amp;A 折旧与摊销 (memo)</t>
  </si>
  <si>
    <t>CapEx高增长→D&amp;A占比上升</t>
  </si>
  <si>
    <t>SBC 股权激励 (memo)</t>
  </si>
  <si>
    <t>SBC占比逐步下降</t>
  </si>
  <si>
    <t>年回购~2%股本</t>
  </si>
  <si>
    <t>Diluted EPS 稀释每股收益</t>
  </si>
  <si>
    <t>Net Income / Diluted Shares</t>
  </si>
  <si>
    <t>Consolidated Balance Sheet 合并资产负债表 (USD mm)</t>
  </si>
  <si>
    <t>Source: 10-K p.48 | 2023 estimated from prior filing</t>
  </si>
  <si>
    <t>Current Assets 流动资产</t>
  </si>
  <si>
    <t>Cash &amp; Equivalents 现金</t>
  </si>
  <si>
    <t>链接自CF期末现金(forecast)</t>
  </si>
  <si>
    <t>Marketable Securities 有价证券</t>
  </si>
  <si>
    <t>投资组合，假设温和增长</t>
  </si>
  <si>
    <t>Total Cash &amp; Securities 现金合计</t>
  </si>
  <si>
    <t>Cash+Securities</t>
  </si>
  <si>
    <t>Accounts Receivable, net 应收账款</t>
  </si>
  <si>
    <t>Revenue×AR Days/365</t>
  </si>
  <si>
    <t>Other Current Assets 其他流动资产</t>
  </si>
  <si>
    <t>预付/库存/其他</t>
  </si>
  <si>
    <t>Total Current Assets 流动资产合计</t>
  </si>
  <si>
    <t>Non-Current Assets 非流动资产</t>
  </si>
  <si>
    <t>Non-marketable Securities 非上市证券</t>
  </si>
  <si>
    <t>含私募股权投资</t>
  </si>
  <si>
    <t>Deferred Income Taxes 递延所得税</t>
  </si>
  <si>
    <t>PP&amp;E, net 固定资产净值</t>
  </si>
  <si>
    <t>Prior+CapEx-D&amp;A</t>
  </si>
  <si>
    <t>Operating Lease Assets 经营租赁</t>
  </si>
  <si>
    <t>Goodwill 商誉</t>
  </si>
  <si>
    <t>收购溢价</t>
  </si>
  <si>
    <t>Other Non-current 其他非流动</t>
  </si>
  <si>
    <t>无形资产/其他</t>
  </si>
  <si>
    <t>Total Non-Current Assets 非流动资产合计</t>
  </si>
  <si>
    <t>TOTAL ASSETS 资产合计</t>
  </si>
  <si>
    <t>Current Liabilities 流动负债</t>
  </si>
  <si>
    <t>Accounts Payable 应付账款</t>
  </si>
  <si>
    <t>COGS×AP Days/365</t>
  </si>
  <si>
    <t>Accrued Compensation 应计薪酬</t>
  </si>
  <si>
    <t>Revenue×AccComp%</t>
  </si>
  <si>
    <t>Accrued Expenses 应计费用</t>
  </si>
  <si>
    <t>Revenue×AccExp%</t>
  </si>
  <si>
    <t>Accrued Revenue Share 应计收入分成</t>
  </si>
  <si>
    <t>Ad Revenue×RevShare%</t>
  </si>
  <si>
    <t>Deferred Revenue 递延收入</t>
  </si>
  <si>
    <t>Total Current Liabilities 流动负债合计</t>
  </si>
  <si>
    <t>Non-Current Liabilities 非流动负债</t>
  </si>
  <si>
    <t>Long-term Debt 长期债务</t>
  </si>
  <si>
    <t>2025发行$65B新债</t>
  </si>
  <si>
    <t>Income Taxes Payable, NC 长期应交税</t>
  </si>
  <si>
    <t>Operating Lease Liabilities 经营租赁负债</t>
  </si>
  <si>
    <t>跟踪ROU资产</t>
  </si>
  <si>
    <t>Other Long-term 其他长期负债</t>
  </si>
  <si>
    <t>Total Non-Current Liabilities 非流动负债</t>
  </si>
  <si>
    <t>TOTAL LIABILITIES 负债合计</t>
  </si>
  <si>
    <t>Stockholders' Equity 股东权益</t>
  </si>
  <si>
    <t>Total Equity 股东权益合计</t>
  </si>
  <si>
    <t>Prior+NI-Buyback-Div+SBC(net)</t>
  </si>
  <si>
    <t>TOTAL LIABILITIES &amp; EQUITY 负债+权益</t>
  </si>
  <si>
    <t>Balance Check 平衡检验 (Assets - L&amp;E)</t>
  </si>
  <si>
    <t>应为0 (Cash为plug项)</t>
  </si>
  <si>
    <t>Cash Flow Statement 现金流量表 (USD mm)</t>
  </si>
  <si>
    <t>Source: 10-K pp.51-52</t>
  </si>
  <si>
    <t>Operating Activities 经营活动现金流</t>
  </si>
  <si>
    <t>(+) D&amp;A 折旧与摊销</t>
  </si>
  <si>
    <t>非现金项目加回</t>
  </si>
  <si>
    <t>(+) SBC 股权激励</t>
  </si>
  <si>
    <t>Deferred Tax 递延所得税</t>
  </si>
  <si>
    <t>递延税项变动</t>
  </si>
  <si>
    <t>(Gain)/Loss on Securities 证券损益</t>
  </si>
  <si>
    <t>非现金投资损益</t>
  </si>
  <si>
    <t>Other Adjustments 其他调整</t>
  </si>
  <si>
    <t>其他非现金项目</t>
  </si>
  <si>
    <t>Working Capital Changes 营运资金变动</t>
  </si>
  <si>
    <t xml:space="preserve">  Chg in AR 应收变动</t>
  </si>
  <si>
    <t>应收增加为负</t>
  </si>
  <si>
    <t xml:space="preserve">  Chg in Tax 应交税变动</t>
  </si>
  <si>
    <t xml:space="preserve">  Chg in Other Assets 其他资产变动</t>
  </si>
  <si>
    <t xml:space="preserve">  Chg in AP 应付变动</t>
  </si>
  <si>
    <t>应付增加为正</t>
  </si>
  <si>
    <t xml:space="preserve">  Chg in Accrued Expenses 应计费用变动</t>
  </si>
  <si>
    <t xml:space="preserve">  Chg in Revenue Share 收入分成变动</t>
  </si>
  <si>
    <t xml:space="preserve">  Chg in Deferred Revenue 递延收入变动</t>
  </si>
  <si>
    <t>CFO 经营活动净现金</t>
  </si>
  <si>
    <t>NI+D&amp;A+SBC+调整+WC变动</t>
  </si>
  <si>
    <t>Investing Activities 投资活动</t>
  </si>
  <si>
    <t>CapEx 资本支出</t>
  </si>
  <si>
    <t>2026=$180B per mgmt guidance</t>
  </si>
  <si>
    <t xml:space="preserve">  CapEx / Revenue</t>
  </si>
  <si>
    <t>FCF 自由现金流 (=CFO+CapEx)</t>
  </si>
  <si>
    <t>CFO-|CapEx|</t>
  </si>
  <si>
    <t xml:space="preserve">  FCF Margin 自由现金流利率</t>
  </si>
  <si>
    <t>Financing Activities 融资活动</t>
  </si>
  <si>
    <t>Share Repurchases 股份回购</t>
  </si>
  <si>
    <t>链接自Assumptions回购假设</t>
  </si>
  <si>
    <t>Dividends Paid 股息支付</t>
  </si>
  <si>
    <t>DPS×Diluted Shares</t>
  </si>
  <si>
    <t>DCF Valuation DCF估值 (USD mm)</t>
  </si>
  <si>
    <t>CapEx 2026 = $180B per mgmt guidance</t>
  </si>
  <si>
    <t>EBIT 经营利润</t>
  </si>
  <si>
    <t>(-) Tax on EBIT EBIT税负</t>
  </si>
  <si>
    <t>NOPAT 税后净营业利润</t>
  </si>
  <si>
    <t>EBIT×(1-Tax Rate)</t>
  </si>
  <si>
    <t>(+) D&amp;A 折旧摊销</t>
  </si>
  <si>
    <t>(-) CapEx 资本支出</t>
  </si>
  <si>
    <t>2026=$180B management guidance</t>
  </si>
  <si>
    <t>(-) Change in NWC 净营运资本变动</t>
  </si>
  <si>
    <t>UFCF 无杠杆自由现金流</t>
  </si>
  <si>
    <t>NOPAT+D&amp;A-CapEx-ΔNWC</t>
  </si>
  <si>
    <t>Discount Factor 折现因子</t>
  </si>
  <si>
    <t>PV of UFCF UFCF现值</t>
  </si>
  <si>
    <t>TV 终值 (Gordon Growth Model)</t>
  </si>
  <si>
    <t>UFCF₂₀₃₀×(1+g)/(WACC-g)</t>
  </si>
  <si>
    <t>PV of TV 终值现值</t>
  </si>
  <si>
    <t>TV as % of EV TV占比</t>
  </si>
  <si>
    <t>Sum of PV of UFCF UFCF现值合计</t>
  </si>
  <si>
    <t>5年UFCF折现合计</t>
  </si>
  <si>
    <t>EV 企业价值</t>
  </si>
  <si>
    <t>(+) Cash &amp; Securities 加回现金</t>
  </si>
  <si>
    <t>年末现金+有价证券</t>
  </si>
  <si>
    <t>(-) Total Debt 减去债务</t>
  </si>
  <si>
    <t>Equity Value 股权价值</t>
  </si>
  <si>
    <t>Implied Share Price 隐含股价</t>
  </si>
  <si>
    <t>Sensitivity 敏感性分析 - Implied Share Price (USD)</t>
  </si>
  <si>
    <t>WACC 加权平均资本成本 × g 永续增长率</t>
  </si>
  <si>
    <t>g \ WACC</t>
  </si>
  <si>
    <t>Financial Ratio Analysis 财务比率分析</t>
  </si>
  <si>
    <t>单位：百分比或倍数 (% or Multiple)</t>
  </si>
  <si>
    <t>Profitability 盈利能力</t>
  </si>
  <si>
    <t>Gross Margin 毛利率</t>
  </si>
  <si>
    <t>毛利/收入</t>
  </si>
  <si>
    <t>EBIT Margin 经营利润率</t>
  </si>
  <si>
    <t>经营利润/收入</t>
  </si>
  <si>
    <t>Net Margin 净利率</t>
  </si>
  <si>
    <t>净利润/收入</t>
  </si>
  <si>
    <t>净利润/股东权益</t>
  </si>
  <si>
    <t>Operating Efficiency 营运效率</t>
  </si>
  <si>
    <t>应收/收入×365</t>
  </si>
  <si>
    <t>AP Days 应付账款周转天数</t>
  </si>
  <si>
    <t>应付/COGS×365</t>
  </si>
  <si>
    <t>CapEx Intensity 资本支出强度</t>
  </si>
  <si>
    <t>|CapEx|/Revenue</t>
  </si>
  <si>
    <t>CapEx / D&amp;A 资本支出/折旧</t>
  </si>
  <si>
    <t>&gt;1x表示净投资增长</t>
  </si>
  <si>
    <t>Leverage 杠杆与偿债能力</t>
  </si>
  <si>
    <t>Debt / Assets 资产负债率</t>
  </si>
  <si>
    <t>总负债/总资产</t>
  </si>
  <si>
    <t>Current Ratio 流动比率</t>
  </si>
  <si>
    <t>流动资产/流动负债</t>
  </si>
  <si>
    <t>Net Cash 净现金 (mm)</t>
  </si>
  <si>
    <t>现金+证券-长期债务</t>
  </si>
  <si>
    <t>Cash Flow Quality 现金流质量</t>
  </si>
  <si>
    <t>OCF / Net Income 经营现金流/净利润</t>
  </si>
  <si>
    <t>现金流质量，&gt;1为佳</t>
  </si>
  <si>
    <t>FCF / Revenue 自由现金流率</t>
  </si>
  <si>
    <t>FCF/Revenue</t>
  </si>
  <si>
    <t>Growth 增长指标</t>
  </si>
  <si>
    <t>Revenue Growth 收入增速</t>
  </si>
  <si>
    <t>YoY</t>
  </si>
  <si>
    <t>Net Income Growth 净利润增速</t>
  </si>
  <si>
    <t>EPS Growth 每股收益增速</t>
  </si>
  <si>
    <t>Key Investment Highlights 关键投资亮点</t>
  </si>
  <si>
    <t>✓ AI驱动搜索广告持续增长，Search revenue占比&gt;55%，核心现金牛</t>
  </si>
  <si>
    <t>✓ Google Cloud 48% YoY增长(Q4'25)，利润率从5%→24%快速改善</t>
  </si>
  <si>
    <t>✓ CapEx高峰期(2026 ~$180B)，AI基础设施投资确立长期竞争优势</t>
  </si>
  <si>
    <t>✓ 大规模回购+首次派息($0.83/share)，股东回报显著增强</t>
  </si>
  <si>
    <t>✓ Net cash position &gt;$80B，资产负债表极其稳健</t>
  </si>
  <si>
    <t>⚠ 风险: AI CapEx回报期不确定、DOJ反垄断诉讼、Cloud竞争加剧</t>
  </si>
  <si>
    <t>⚠ 风险: 2025 OI&amp;E含$24B非上市证券估值收益(不可持续)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</si>
</sst>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\$#,##0.00"/>
    <numFmt numFmtId="178" formatCode="0.0"/>
    <numFmt numFmtId="179" formatCode="0.0000"/>
    <numFmt numFmtId="180" formatCode="0.0\x"/>
    <numFmt numFmtId="181" formatCode="0.00\x"/>
  </numFmts>
  <fonts count="15" x14ac:knownFonts="1">
    <font>
      <sz val="11"/>
      <color theme="1"/>
      <name val="宋体"/>
      <family val="2"/>
      <scheme val="minor"/>
    </font>
    <font>
      <b/>
      <sz val="20"/>
      <name val="宋体"/>
      <charset val="134"/>
    </font>
    <font>
      <i/>
      <sz val="12"/>
      <color rgb="FF1F4E78"/>
      <name val="宋体"/>
      <charset val="134"/>
    </font>
    <font>
      <b/>
      <sz val="10"/>
      <name val="宋体"/>
      <charset val="134"/>
    </font>
    <font>
      <b/>
      <sz val="14"/>
      <name val="宋体"/>
      <charset val="134"/>
    </font>
    <font>
      <i/>
      <sz val="9"/>
      <color rgb="FF808080"/>
      <name val="宋体"/>
      <charset val="134"/>
    </font>
    <font>
      <b/>
      <sz val="10"/>
      <color rgb="FF1F4E78"/>
      <name val="宋体"/>
      <charset val="134"/>
    </font>
    <font>
      <b/>
      <sz val="10"/>
      <color rgb="FFFFFFFF"/>
      <name val="宋体"/>
      <charset val="134"/>
    </font>
    <font>
      <b/>
      <sz val="11"/>
      <color rgb="FF1F4E78"/>
      <name val="宋体"/>
      <charset val="134"/>
    </font>
    <font>
      <sz val="10"/>
      <color rgb="FF305496"/>
      <name val="宋体"/>
      <charset val="134"/>
    </font>
    <font>
      <sz val="9"/>
      <color rgb="FF808080"/>
      <name val="宋体"/>
      <charset val="134"/>
    </font>
    <font>
      <b/>
      <sz val="9"/>
      <color rgb="FF808080"/>
      <name val="宋体"/>
      <charset val="134"/>
    </font>
    <font>
      <sz val="10"/>
      <name val="宋体"/>
      <charset val="134"/>
    </font>
    <font>
      <sz val="10"/>
      <color rgb="FF548235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3" fontId="13" fillId="0" borderId="1" xfId="0" applyNumberFormat="1" applyFont="1" applyBorder="1"/>
    <xf numFmtId="0" fontId="10" fillId="0" borderId="1" xfId="0" applyFont="1" applyBorder="1"/>
    <xf numFmtId="176" fontId="5" fillId="0" borderId="1" xfId="0" applyNumberFormat="1" applyFont="1" applyBorder="1"/>
    <xf numFmtId="177" fontId="13" fillId="0" borderId="1" xfId="0" applyNumberFormat="1" applyFont="1" applyBorder="1"/>
    <xf numFmtId="0" fontId="5" fillId="0" borderId="1" xfId="0" applyFont="1" applyBorder="1"/>
    <xf numFmtId="176" fontId="0" fillId="0" borderId="1" xfId="0" applyNumberFormat="1" applyBorder="1"/>
    <xf numFmtId="0" fontId="10" fillId="0" borderId="0" xfId="0" applyFont="1"/>
    <xf numFmtId="0" fontId="11" fillId="0" borderId="0" xfId="0" applyFont="1"/>
    <xf numFmtId="0" fontId="6" fillId="2" borderId="0" xfId="0" applyFont="1" applyFill="1"/>
    <xf numFmtId="10" fontId="9" fillId="5" borderId="1" xfId="0" applyNumberFormat="1" applyFont="1" applyFill="1" applyBorder="1"/>
    <xf numFmtId="10" fontId="6" fillId="2" borderId="1" xfId="0" applyNumberFormat="1" applyFont="1" applyFill="1" applyBorder="1"/>
    <xf numFmtId="10" fontId="3" fillId="0" borderId="1" xfId="0" applyNumberFormat="1" applyFont="1" applyBorder="1"/>
    <xf numFmtId="0" fontId="10" fillId="0" borderId="1" xfId="0" applyFont="1" applyBorder="1" applyAlignment="1">
      <alignment horizontal="left" vertical="center" wrapText="1"/>
    </xf>
    <xf numFmtId="2" fontId="9" fillId="5" borderId="1" xfId="0" applyNumberFormat="1" applyFont="1" applyFill="1" applyBorder="1"/>
    <xf numFmtId="2" fontId="6" fillId="2" borderId="1" xfId="0" applyNumberFormat="1" applyFont="1" applyFill="1" applyBorder="1"/>
    <xf numFmtId="2" fontId="3" fillId="0" borderId="1" xfId="0" applyNumberFormat="1" applyFont="1" applyBorder="1"/>
    <xf numFmtId="176" fontId="9" fillId="5" borderId="1" xfId="0" applyNumberFormat="1" applyFont="1" applyFill="1" applyBorder="1"/>
    <xf numFmtId="176" fontId="6" fillId="2" borderId="1" xfId="0" applyNumberFormat="1" applyFont="1" applyFill="1" applyBorder="1"/>
    <xf numFmtId="176" fontId="3" fillId="0" borderId="1" xfId="0" applyNumberFormat="1" applyFont="1" applyBorder="1"/>
    <xf numFmtId="10" fontId="0" fillId="0" borderId="1" xfId="0" applyNumberFormat="1" applyBorder="1"/>
    <xf numFmtId="10" fontId="3" fillId="6" borderId="1" xfId="0" applyNumberFormat="1" applyFont="1" applyFill="1" applyBorder="1"/>
    <xf numFmtId="3" fontId="9" fillId="5" borderId="1" xfId="0" applyNumberFormat="1" applyFont="1" applyFill="1" applyBorder="1"/>
    <xf numFmtId="3" fontId="6" fillId="2" borderId="1" xfId="0" applyNumberFormat="1" applyFont="1" applyFill="1" applyBorder="1"/>
    <xf numFmtId="3" fontId="3" fillId="0" borderId="1" xfId="0" applyNumberFormat="1" applyFont="1" applyBorder="1"/>
    <xf numFmtId="0" fontId="7" fillId="3" borderId="1" xfId="0" applyFont="1" applyFill="1" applyBorder="1"/>
    <xf numFmtId="176" fontId="9" fillId="0" borderId="1" xfId="0" applyNumberFormat="1" applyFont="1" applyBorder="1"/>
    <xf numFmtId="177" fontId="9" fillId="5" borderId="1" xfId="0" applyNumberFormat="1" applyFont="1" applyFill="1" applyBorder="1"/>
    <xf numFmtId="177" fontId="6" fillId="2" borderId="1" xfId="0" applyNumberFormat="1" applyFont="1" applyFill="1" applyBorder="1"/>
    <xf numFmtId="177" fontId="3" fillId="0" borderId="1" xfId="0" applyNumberFormat="1" applyFont="1" applyBorder="1"/>
    <xf numFmtId="178" fontId="9" fillId="5" borderId="1" xfId="0" applyNumberFormat="1" applyFont="1" applyFill="1" applyBorder="1"/>
    <xf numFmtId="178" fontId="6" fillId="2" borderId="1" xfId="0" applyNumberFormat="1" applyFont="1" applyFill="1" applyBorder="1"/>
    <xf numFmtId="178" fontId="3" fillId="0" borderId="1" xfId="0" applyNumberFormat="1" applyFont="1" applyBorder="1"/>
    <xf numFmtId="0" fontId="0" fillId="3" borderId="1" xfId="0" applyFill="1" applyBorder="1"/>
    <xf numFmtId="3" fontId="9" fillId="0" borderId="1" xfId="0" applyNumberFormat="1" applyFont="1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3" fillId="6" borderId="1" xfId="0" applyFont="1" applyFill="1" applyBorder="1"/>
    <xf numFmtId="3" fontId="3" fillId="6" borderId="1" xfId="0" applyNumberFormat="1" applyFont="1" applyFill="1" applyBorder="1"/>
    <xf numFmtId="0" fontId="12" fillId="0" borderId="1" xfId="0" applyFont="1" applyBorder="1"/>
    <xf numFmtId="0" fontId="3" fillId="7" borderId="1" xfId="0" applyFont="1" applyFill="1" applyBorder="1"/>
    <xf numFmtId="3" fontId="3" fillId="7" borderId="1" xfId="0" applyNumberFormat="1" applyFont="1" applyFill="1" applyBorder="1"/>
    <xf numFmtId="3" fontId="13" fillId="6" borderId="1" xfId="0" applyNumberFormat="1" applyFont="1" applyFill="1" applyBorder="1"/>
    <xf numFmtId="3" fontId="5" fillId="0" borderId="1" xfId="0" applyNumberFormat="1" applyFont="1" applyBorder="1"/>
    <xf numFmtId="177" fontId="3" fillId="6" borderId="1" xfId="0" applyNumberFormat="1" applyFont="1" applyFill="1" applyBorder="1"/>
    <xf numFmtId="3" fontId="9" fillId="6" borderId="1" xfId="0" applyNumberFormat="1" applyFont="1" applyFill="1" applyBorder="1"/>
    <xf numFmtId="3" fontId="9" fillId="4" borderId="1" xfId="0" applyNumberFormat="1" applyFont="1" applyFill="1" applyBorder="1"/>
    <xf numFmtId="179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/>
    <xf numFmtId="178" fontId="0" fillId="0" borderId="1" xfId="0" applyNumberFormat="1" applyBorder="1"/>
    <xf numFmtId="180" fontId="0" fillId="0" borderId="1" xfId="0" applyNumberFormat="1" applyBorder="1"/>
    <xf numFmtId="181" fontId="0" fillId="0" borderId="1" xfId="0" applyNumberFormat="1" applyBorder="1"/>
    <xf numFmtId="0" fontId="8" fillId="4" borderId="1" xfId="0" applyFont="1" applyFill="1" applyBorder="1"/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3.5" x14ac:dyDescent="0.15"/>
  <cols>
    <col min="1" max="1" width="28" customWidth="1"/>
    <col min="2" max="2" width="90" customWidth="1"/>
  </cols>
  <sheetData>
    <row r="1" spans="1:2" ht="25.5" x14ac:dyDescent="0.3">
      <c r="A1" s="1" t="s">
        <v>0</v>
      </c>
    </row>
    <row r="2" spans="1:2" ht="14.25" x14ac:dyDescent="0.15">
      <c r="A2" s="2" t="s">
        <v>1</v>
      </c>
    </row>
    <row r="4" spans="1:2" x14ac:dyDescent="0.15">
      <c r="A4" s="3" t="s">
        <v>2</v>
      </c>
      <c r="B4" t="s">
        <v>3</v>
      </c>
    </row>
    <row r="5" spans="1:2" x14ac:dyDescent="0.15">
      <c r="A5" s="3" t="s">
        <v>4</v>
      </c>
      <c r="B5" t="s">
        <v>5</v>
      </c>
    </row>
    <row r="6" spans="1:2" x14ac:dyDescent="0.15">
      <c r="A6" s="3" t="s">
        <v>6</v>
      </c>
      <c r="B6" t="s">
        <v>7</v>
      </c>
    </row>
    <row r="7" spans="1:2" x14ac:dyDescent="0.15">
      <c r="A7" s="3" t="s">
        <v>8</v>
      </c>
      <c r="B7" t="s">
        <v>9</v>
      </c>
    </row>
    <row r="9" spans="1:2" x14ac:dyDescent="0.15">
      <c r="A9" s="3" t="s">
        <v>10</v>
      </c>
    </row>
    <row r="10" spans="1:2" x14ac:dyDescent="0.15">
      <c r="A10" s="3" t="s">
        <v>11</v>
      </c>
      <c r="B10" t="s">
        <v>12</v>
      </c>
    </row>
    <row r="11" spans="1:2" x14ac:dyDescent="0.15">
      <c r="A11" s="3" t="s">
        <v>13</v>
      </c>
      <c r="B11" t="s">
        <v>14</v>
      </c>
    </row>
    <row r="12" spans="1:2" x14ac:dyDescent="0.15">
      <c r="A12" s="3" t="s">
        <v>15</v>
      </c>
      <c r="B12" t="s">
        <v>16</v>
      </c>
    </row>
    <row r="13" spans="1:2" x14ac:dyDescent="0.15">
      <c r="A13" s="3" t="s">
        <v>17</v>
      </c>
      <c r="B13" t="s">
        <v>18</v>
      </c>
    </row>
    <row r="14" spans="1:2" x14ac:dyDescent="0.15">
      <c r="A14" s="3" t="s">
        <v>19</v>
      </c>
      <c r="B14" t="s">
        <v>20</v>
      </c>
    </row>
    <row r="15" spans="1:2" x14ac:dyDescent="0.15">
      <c r="A15" s="3" t="s">
        <v>21</v>
      </c>
      <c r="B15" t="s">
        <v>22</v>
      </c>
    </row>
    <row r="16" spans="1:2" x14ac:dyDescent="0.15">
      <c r="A16" s="3" t="s">
        <v>23</v>
      </c>
      <c r="B16" t="s">
        <v>24</v>
      </c>
    </row>
  </sheetData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defaultRowHeight="13.5" x14ac:dyDescent="0.15"/>
  <cols>
    <col min="1" max="1" width="38" customWidth="1"/>
    <col min="2" max="7" width="14" customWidth="1"/>
    <col min="8" max="8" width="38" customWidth="1"/>
  </cols>
  <sheetData>
    <row r="1" spans="1:8" ht="18.75" x14ac:dyDescent="0.25">
      <c r="A1" s="4" t="s">
        <v>25</v>
      </c>
    </row>
    <row r="2" spans="1:8" x14ac:dyDescent="0.15">
      <c r="A2" s="5" t="s">
        <v>26</v>
      </c>
    </row>
    <row r="4" spans="1:8" x14ac:dyDescent="0.15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</row>
    <row r="5" spans="1:8" x14ac:dyDescent="0.15">
      <c r="A5" s="7" t="s">
        <v>35</v>
      </c>
      <c r="B5" s="8">
        <f>Consolidated_PL!B5</f>
        <v>307394</v>
      </c>
      <c r="C5" s="8">
        <f>Consolidated_PL!C5</f>
        <v>350018</v>
      </c>
      <c r="D5" s="8">
        <f>Consolidated_PL!D5</f>
        <v>402836</v>
      </c>
      <c r="E5" s="8">
        <f>Consolidated_PL!E5</f>
        <v>461372.98000000004</v>
      </c>
      <c r="F5" s="8">
        <f>Consolidated_PL!F5</f>
        <v>519292.88640000002</v>
      </c>
      <c r="G5" s="8">
        <f>Consolidated_PL!G5</f>
        <v>578808.58630199998</v>
      </c>
      <c r="H5" s="9" t="s">
        <v>36</v>
      </c>
    </row>
    <row r="6" spans="1:8" x14ac:dyDescent="0.15">
      <c r="A6" s="7" t="s">
        <v>37</v>
      </c>
      <c r="C6" s="10">
        <f>C5/B5-1</f>
        <v>0.13866243322901561</v>
      </c>
      <c r="D6" s="10">
        <f>D5/C5-1</f>
        <v>0.15090081081544371</v>
      </c>
      <c r="E6" s="10">
        <f>E5/D5-1</f>
        <v>0.14531218659702727</v>
      </c>
      <c r="F6" s="10">
        <f>F5/E5-1</f>
        <v>0.12553814139701025</v>
      </c>
      <c r="G6" s="10">
        <f>G5/F5-1</f>
        <v>0.11460911840058663</v>
      </c>
    </row>
    <row r="7" spans="1:8" x14ac:dyDescent="0.15">
      <c r="A7" s="7" t="s">
        <v>38</v>
      </c>
      <c r="B7" s="8">
        <f>Consolidated_PL!B15</f>
        <v>174062</v>
      </c>
      <c r="C7" s="8">
        <f>Consolidated_PL!C15</f>
        <v>203712</v>
      </c>
      <c r="D7" s="8">
        <f>Consolidated_PL!D15</f>
        <v>240301</v>
      </c>
      <c r="E7" s="8">
        <f>Consolidated_PL!E15</f>
        <v>280691.65900000004</v>
      </c>
      <c r="F7" s="8">
        <f>Consolidated_PL!F15</f>
        <v>318114.41551999998</v>
      </c>
      <c r="G7" s="8">
        <f>Consolidated_PL!G15</f>
        <v>356798.38157609996</v>
      </c>
    </row>
    <row r="8" spans="1:8" x14ac:dyDescent="0.15">
      <c r="A8" s="7" t="s">
        <v>39</v>
      </c>
      <c r="B8" s="10">
        <f t="shared" ref="B8:G8" si="0">B7/B5</f>
        <v>0.56625047984020505</v>
      </c>
      <c r="C8" s="10">
        <f t="shared" si="0"/>
        <v>0.58200435406179107</v>
      </c>
      <c r="D8" s="10">
        <f t="shared" si="0"/>
        <v>0.59652315086039975</v>
      </c>
      <c r="E8" s="10">
        <f t="shared" si="0"/>
        <v>0.60838339297632904</v>
      </c>
      <c r="F8" s="10">
        <f t="shared" si="0"/>
        <v>0.61259151405929979</v>
      </c>
      <c r="G8" s="10">
        <f t="shared" si="0"/>
        <v>0.61643588229345359</v>
      </c>
    </row>
    <row r="9" spans="1:8" x14ac:dyDescent="0.15">
      <c r="A9" s="7" t="s">
        <v>40</v>
      </c>
      <c r="B9" s="8">
        <f>Consolidated_PL!B26</f>
        <v>84293</v>
      </c>
      <c r="C9" s="8">
        <f>Consolidated_PL!C26</f>
        <v>112390</v>
      </c>
      <c r="D9" s="8">
        <f>Consolidated_PL!D26</f>
        <v>129039</v>
      </c>
      <c r="E9" s="8">
        <f>Consolidated_PL!E26</f>
        <v>157314.70025999998</v>
      </c>
      <c r="F9" s="8">
        <f>Consolidated_PL!F26</f>
        <v>177860.09031880001</v>
      </c>
      <c r="G9" s="8">
        <f>Consolidated_PL!G26</f>
        <v>198660.53663768401</v>
      </c>
    </row>
    <row r="10" spans="1:8" x14ac:dyDescent="0.15">
      <c r="A10" s="7" t="s">
        <v>41</v>
      </c>
      <c r="B10" s="10">
        <f t="shared" ref="B10:G10" si="1">B9/B5</f>
        <v>0.27421810445226646</v>
      </c>
      <c r="C10" s="10">
        <f t="shared" si="1"/>
        <v>0.32109777211457696</v>
      </c>
      <c r="D10" s="10">
        <f t="shared" si="1"/>
        <v>0.32032638592380025</v>
      </c>
      <c r="E10" s="10">
        <f t="shared" si="1"/>
        <v>0.34097077002645443</v>
      </c>
      <c r="F10" s="10">
        <f t="shared" si="1"/>
        <v>0.34250438428266522</v>
      </c>
      <c r="G10" s="10">
        <f t="shared" si="1"/>
        <v>0.34322320252179295</v>
      </c>
    </row>
    <row r="11" spans="1:8" x14ac:dyDescent="0.15">
      <c r="A11" s="7" t="s">
        <v>42</v>
      </c>
      <c r="B11" s="8">
        <f>Consolidated_PL!B33</f>
        <v>73795</v>
      </c>
      <c r="C11" s="8">
        <f>Consolidated_PL!C33</f>
        <v>100118</v>
      </c>
      <c r="D11" s="8">
        <f>Consolidated_PL!D33</f>
        <v>132170</v>
      </c>
      <c r="E11" s="8">
        <f>Consolidated_PL!E33</f>
        <v>134721.20121579999</v>
      </c>
      <c r="F11" s="8">
        <f>Consolidated_PL!F33</f>
        <v>152188.87496460401</v>
      </c>
      <c r="G11" s="8">
        <f>Consolidated_PL!G33</f>
        <v>169868.24540927773</v>
      </c>
    </row>
    <row r="12" spans="1:8" x14ac:dyDescent="0.15">
      <c r="A12" s="7" t="s">
        <v>43</v>
      </c>
      <c r="B12" s="10">
        <f t="shared" ref="B12:G12" si="2">B11/B5</f>
        <v>0.24006649446638517</v>
      </c>
      <c r="C12" s="10">
        <f t="shared" si="2"/>
        <v>0.28603671811164</v>
      </c>
      <c r="D12" s="10">
        <f t="shared" si="2"/>
        <v>0.32809877965226542</v>
      </c>
      <c r="E12" s="10">
        <f t="shared" si="2"/>
        <v>0.29200063084708594</v>
      </c>
      <c r="F12" s="10">
        <f t="shared" si="2"/>
        <v>0.2930694391360798</v>
      </c>
      <c r="G12" s="10">
        <f t="shared" si="2"/>
        <v>0.29347913875045217</v>
      </c>
    </row>
    <row r="13" spans="1:8" x14ac:dyDescent="0.15">
      <c r="A13" s="7" t="s">
        <v>44</v>
      </c>
      <c r="C13" s="10">
        <f>C12/B12-1</f>
        <v>0.19148954437576338</v>
      </c>
      <c r="D13" s="10">
        <f>D12/C12-1</f>
        <v>0.14705126606930441</v>
      </c>
      <c r="E13" s="10">
        <f>E12/D12-1</f>
        <v>-0.11002219771569399</v>
      </c>
      <c r="F13" s="10">
        <f>F12/E12-1</f>
        <v>3.6602944517389879E-3</v>
      </c>
      <c r="G13" s="10">
        <f>G12/F12-1</f>
        <v>1.3979608913849972E-3</v>
      </c>
    </row>
    <row r="14" spans="1:8" x14ac:dyDescent="0.15">
      <c r="A14" s="7" t="s">
        <v>45</v>
      </c>
      <c r="B14" s="11">
        <f>Consolidated_PL!B41</f>
        <v>5.800581669548813</v>
      </c>
      <c r="C14" s="11">
        <f>Consolidated_PL!C41</f>
        <v>8.0435446292279256</v>
      </c>
      <c r="D14" s="11">
        <f>Consolidated_PL!D41</f>
        <v>10.807031888798038</v>
      </c>
      <c r="E14" s="11">
        <f>Consolidated_PL!E41</f>
        <v>11.240442639861831</v>
      </c>
      <c r="F14" s="11">
        <f>Consolidated_PL!F41</f>
        <v>12.956995208507427</v>
      </c>
      <c r="G14" s="11">
        <f>Consolidated_PL!G41</f>
        <v>14.75732075174297</v>
      </c>
    </row>
    <row r="16" spans="1:8" x14ac:dyDescent="0.15">
      <c r="A16" s="6" t="s">
        <v>46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34</v>
      </c>
    </row>
    <row r="17" spans="1:8" x14ac:dyDescent="0.15">
      <c r="A17" s="7" t="s">
        <v>47</v>
      </c>
      <c r="B17" s="8">
        <f>Segment_Revenue!B19</f>
        <v>272543</v>
      </c>
      <c r="C17" s="8">
        <f>Segment_Revenue!C19</f>
        <v>304930</v>
      </c>
      <c r="D17" s="8">
        <f>Segment_Revenue!D19</f>
        <v>342721</v>
      </c>
      <c r="E17" s="8">
        <f>Segment_Revenue!E19</f>
        <v>383365.78</v>
      </c>
      <c r="F17" s="8">
        <f>Segment_Revenue!F19</f>
        <v>421952.95640000002</v>
      </c>
      <c r="G17" s="8">
        <f>Segment_Revenue!G19</f>
        <v>460189.97305200004</v>
      </c>
    </row>
    <row r="18" spans="1:8" x14ac:dyDescent="0.15">
      <c r="A18" s="12" t="s">
        <v>48</v>
      </c>
      <c r="B18" s="10">
        <f t="shared" ref="B18:G18" si="3">B17/B5</f>
        <v>0.88662433229015536</v>
      </c>
      <c r="C18" s="10">
        <f t="shared" si="3"/>
        <v>0.87118376769194728</v>
      </c>
      <c r="D18" s="10">
        <f t="shared" si="3"/>
        <v>0.85077053689342563</v>
      </c>
      <c r="E18" s="10">
        <f t="shared" si="3"/>
        <v>0.83092377884808077</v>
      </c>
      <c r="F18" s="10">
        <f t="shared" si="3"/>
        <v>0.81255293005300067</v>
      </c>
      <c r="G18" s="10">
        <f t="shared" si="3"/>
        <v>0.79506417828413256</v>
      </c>
    </row>
    <row r="19" spans="1:8" x14ac:dyDescent="0.15">
      <c r="A19" s="7" t="s">
        <v>49</v>
      </c>
      <c r="B19" s="8">
        <f>Segment_Revenue!B22</f>
        <v>33088</v>
      </c>
      <c r="C19" s="8">
        <f>Segment_Revenue!C22</f>
        <v>43229</v>
      </c>
      <c r="D19" s="8">
        <f>Segment_Revenue!D22</f>
        <v>58705</v>
      </c>
      <c r="E19" s="8">
        <f>Segment_Revenue!E22</f>
        <v>76316.5</v>
      </c>
      <c r="F19" s="8">
        <f>Segment_Revenue!F22</f>
        <v>95395.625</v>
      </c>
      <c r="G19" s="8">
        <f>Segment_Revenue!G22</f>
        <v>116382.66249999999</v>
      </c>
    </row>
    <row r="20" spans="1:8" x14ac:dyDescent="0.15">
      <c r="A20" s="12" t="s">
        <v>48</v>
      </c>
      <c r="B20" s="10">
        <f t="shared" ref="B20:G20" si="4">B19/B5</f>
        <v>0.10764035732642797</v>
      </c>
      <c r="C20" s="10">
        <f t="shared" si="4"/>
        <v>0.12350507688176036</v>
      </c>
      <c r="D20" s="10">
        <f t="shared" si="4"/>
        <v>0.14572927940899025</v>
      </c>
      <c r="E20" s="10">
        <f t="shared" si="4"/>
        <v>0.16541172393753964</v>
      </c>
      <c r="F20" s="10">
        <f t="shared" si="4"/>
        <v>0.18370293046248051</v>
      </c>
      <c r="G20" s="10">
        <f t="shared" si="4"/>
        <v>0.20107279894302743</v>
      </c>
    </row>
    <row r="21" spans="1:8" x14ac:dyDescent="0.15">
      <c r="A21" s="7" t="s">
        <v>50</v>
      </c>
      <c r="B21" s="8">
        <f>Segment_Revenue!B26</f>
        <v>1527</v>
      </c>
      <c r="C21" s="8">
        <f>Segment_Revenue!C26</f>
        <v>1648</v>
      </c>
      <c r="D21" s="8">
        <f>Segment_Revenue!D26</f>
        <v>1537</v>
      </c>
      <c r="E21" s="8">
        <f>Segment_Revenue!E26</f>
        <v>1690.7</v>
      </c>
      <c r="F21" s="8">
        <f>Segment_Revenue!F26</f>
        <v>1944.3049999999998</v>
      </c>
      <c r="G21" s="8">
        <f>Segment_Revenue!G26</f>
        <v>2235.9507499999995</v>
      </c>
    </row>
    <row r="22" spans="1:8" x14ac:dyDescent="0.15">
      <c r="A22" s="12" t="s">
        <v>48</v>
      </c>
      <c r="B22" s="10">
        <f t="shared" ref="B22:G22" si="5">B21/B5</f>
        <v>4.9675660552906042E-3</v>
      </c>
      <c r="C22" s="10">
        <f t="shared" si="5"/>
        <v>4.7083292859224383E-3</v>
      </c>
      <c r="D22" s="10">
        <f t="shared" si="5"/>
        <v>3.8154484703452523E-3</v>
      </c>
      <c r="E22" s="10">
        <f t="shared" si="5"/>
        <v>3.6644972143795676E-3</v>
      </c>
      <c r="F22" s="10">
        <f t="shared" si="5"/>
        <v>3.7441394845188461E-3</v>
      </c>
      <c r="G22" s="10">
        <f t="shared" si="5"/>
        <v>3.8630227728400812E-3</v>
      </c>
    </row>
    <row r="24" spans="1:8" x14ac:dyDescent="0.15">
      <c r="A24" s="6" t="s">
        <v>51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32</v>
      </c>
      <c r="G24" s="6" t="s">
        <v>33</v>
      </c>
      <c r="H24" s="6" t="s">
        <v>52</v>
      </c>
    </row>
    <row r="25" spans="1:8" x14ac:dyDescent="0.15">
      <c r="A25" s="7" t="s">
        <v>53</v>
      </c>
      <c r="B25" s="8">
        <f>BS!B21</f>
        <v>401392</v>
      </c>
      <c r="C25" s="8">
        <f>BS!C21</f>
        <v>450256</v>
      </c>
      <c r="D25" s="8">
        <f>BS!D21</f>
        <v>595281</v>
      </c>
      <c r="E25" s="8">
        <f>BS!E21</f>
        <v>695799.56201881368</v>
      </c>
      <c r="F25" s="8">
        <f>BS!F21</f>
        <v>818108.6587089739</v>
      </c>
      <c r="G25" s="8">
        <f>BS!G21</f>
        <v>960560.88626518683</v>
      </c>
    </row>
    <row r="26" spans="1:8" x14ac:dyDescent="0.15">
      <c r="A26" s="7" t="s">
        <v>54</v>
      </c>
      <c r="B26" s="8">
        <f>BS!B40</f>
        <v>283379</v>
      </c>
      <c r="C26" s="8">
        <f>BS!C40</f>
        <v>325084</v>
      </c>
      <c r="D26" s="8">
        <f>BS!D40</f>
        <v>415265</v>
      </c>
      <c r="E26" s="8">
        <f>BS!E40</f>
        <v>502818.8656358</v>
      </c>
      <c r="F26" s="8">
        <f>BS!F40</f>
        <v>609731.02534600405</v>
      </c>
      <c r="G26" s="8">
        <f>BS!G40</f>
        <v>736255.23497723986</v>
      </c>
    </row>
    <row r="27" spans="1:8" x14ac:dyDescent="0.15">
      <c r="A27" s="7" t="s">
        <v>55</v>
      </c>
      <c r="B27" s="8">
        <f>BS!B8</f>
        <v>110916</v>
      </c>
      <c r="C27" s="8">
        <f>BS!C8</f>
        <v>95657</v>
      </c>
      <c r="D27" s="8">
        <f>BS!D8</f>
        <v>126843</v>
      </c>
      <c r="E27" s="8">
        <f>BS!E8</f>
        <v>51849.15082840281</v>
      </c>
      <c r="F27" s="8">
        <f>BS!F8</f>
        <v>17844.370385795846</v>
      </c>
      <c r="G27" s="8">
        <f>BS!G8</f>
        <v>25105.881124223786</v>
      </c>
    </row>
    <row r="28" spans="1:8" x14ac:dyDescent="0.15">
      <c r="A28" s="7" t="s">
        <v>56</v>
      </c>
      <c r="B28" s="13">
        <f t="shared" ref="B28:G28" si="6">B11/B26</f>
        <v>0.26041096905557576</v>
      </c>
      <c r="C28" s="13">
        <f t="shared" si="6"/>
        <v>0.30797578472025694</v>
      </c>
      <c r="D28" s="13">
        <f t="shared" si="6"/>
        <v>0.31827868951151672</v>
      </c>
      <c r="E28" s="13">
        <f t="shared" si="6"/>
        <v>0.26793187452393796</v>
      </c>
      <c r="F28" s="13">
        <f t="shared" si="6"/>
        <v>0.24960001810346027</v>
      </c>
      <c r="G28" s="13">
        <f t="shared" si="6"/>
        <v>0.23071923612811926</v>
      </c>
      <c r="H28" s="9" t="s">
        <v>57</v>
      </c>
    </row>
    <row r="29" spans="1:8" x14ac:dyDescent="0.15">
      <c r="A29" s="7" t="s">
        <v>58</v>
      </c>
      <c r="B29" s="13">
        <f t="shared" ref="B29:G29" si="7">B11/B25</f>
        <v>0.1838477099693068</v>
      </c>
      <c r="C29" s="13">
        <f t="shared" si="7"/>
        <v>0.22235794747876764</v>
      </c>
      <c r="D29" s="13">
        <f t="shared" si="7"/>
        <v>0.22202959610671263</v>
      </c>
      <c r="E29" s="13">
        <f t="shared" si="7"/>
        <v>0.1936207042512586</v>
      </c>
      <c r="F29" s="13">
        <f t="shared" si="7"/>
        <v>0.18602525880213452</v>
      </c>
      <c r="G29" s="13">
        <f t="shared" si="7"/>
        <v>0.17684276742701072</v>
      </c>
      <c r="H29" s="9" t="s">
        <v>59</v>
      </c>
    </row>
    <row r="32" spans="1:8" x14ac:dyDescent="0.15">
      <c r="A32" s="63" t="s">
        <v>60</v>
      </c>
      <c r="B32" s="64"/>
      <c r="C32" s="64"/>
      <c r="D32" s="64"/>
      <c r="E32" s="64"/>
      <c r="F32" s="64"/>
      <c r="G32" s="64"/>
      <c r="H32" s="64"/>
    </row>
    <row r="33" spans="1:1" x14ac:dyDescent="0.15">
      <c r="A33" s="14" t="s">
        <v>61</v>
      </c>
    </row>
    <row r="34" spans="1:1" x14ac:dyDescent="0.15">
      <c r="A34" s="14" t="s">
        <v>62</v>
      </c>
    </row>
    <row r="35" spans="1:1" x14ac:dyDescent="0.15">
      <c r="A35" s="14" t="s">
        <v>63</v>
      </c>
    </row>
    <row r="36" spans="1:1" x14ac:dyDescent="0.15">
      <c r="A36" s="14" t="s">
        <v>64</v>
      </c>
    </row>
    <row r="37" spans="1:1" x14ac:dyDescent="0.15">
      <c r="A37" s="14" t="s">
        <v>65</v>
      </c>
    </row>
    <row r="38" spans="1:1" x14ac:dyDescent="0.15">
      <c r="A38" s="14" t="s">
        <v>66</v>
      </c>
    </row>
    <row r="40" spans="1:1" x14ac:dyDescent="0.15">
      <c r="A40" s="15" t="s">
        <v>67</v>
      </c>
    </row>
    <row r="41" spans="1:1" x14ac:dyDescent="0.15">
      <c r="A41" s="14" t="s">
        <v>68</v>
      </c>
    </row>
    <row r="42" spans="1:1" x14ac:dyDescent="0.15">
      <c r="A42" s="14" t="s">
        <v>69</v>
      </c>
    </row>
    <row r="43" spans="1:1" x14ac:dyDescent="0.15">
      <c r="A43" s="14" t="s">
        <v>70</v>
      </c>
    </row>
    <row r="44" spans="1:1" x14ac:dyDescent="0.15">
      <c r="A44" s="14" t="s">
        <v>71</v>
      </c>
    </row>
    <row r="45" spans="1:1" x14ac:dyDescent="0.15">
      <c r="A45" s="14" t="s">
        <v>72</v>
      </c>
    </row>
    <row r="47" spans="1:1" x14ac:dyDescent="0.15">
      <c r="A47" s="15" t="s">
        <v>73</v>
      </c>
    </row>
    <row r="48" spans="1:1" x14ac:dyDescent="0.15">
      <c r="A48" s="14" t="s">
        <v>74</v>
      </c>
    </row>
    <row r="49" spans="1:1" x14ac:dyDescent="0.15">
      <c r="A49" s="14" t="s">
        <v>75</v>
      </c>
    </row>
    <row r="50" spans="1:1" x14ac:dyDescent="0.15">
      <c r="A50" s="14" t="s">
        <v>76</v>
      </c>
    </row>
    <row r="51" spans="1:1" x14ac:dyDescent="0.15">
      <c r="A51" s="14" t="s">
        <v>77</v>
      </c>
    </row>
  </sheetData>
  <mergeCells count="1">
    <mergeCell ref="A32:H32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6"/>
  <sheetViews>
    <sheetView workbookViewId="0">
      <pane xSplit="1" ySplit="4" topLeftCell="B53" activePane="bottomRight" state="frozen"/>
      <selection pane="topRight"/>
      <selection pane="bottomLeft"/>
      <selection pane="bottomRight" activeCell="D14" sqref="D14"/>
    </sheetView>
  </sheetViews>
  <sheetFormatPr defaultRowHeight="13.5" x14ac:dyDescent="0.15"/>
  <cols>
    <col min="1" max="1" width="44" customWidth="1"/>
    <col min="2" max="4" width="14" customWidth="1"/>
    <col min="5" max="5" width="3" customWidth="1"/>
    <col min="6" max="10" width="14" customWidth="1"/>
    <col min="11" max="11" width="40" customWidth="1"/>
  </cols>
  <sheetData>
    <row r="1" spans="1:11" ht="18.75" x14ac:dyDescent="0.25">
      <c r="A1" s="4" t="s">
        <v>78</v>
      </c>
    </row>
    <row r="2" spans="1:11" x14ac:dyDescent="0.15">
      <c r="A2" t="s">
        <v>79</v>
      </c>
      <c r="B2" s="16" t="s">
        <v>80</v>
      </c>
    </row>
    <row r="4" spans="1:11" x14ac:dyDescent="0.15">
      <c r="A4" s="6" t="s">
        <v>81</v>
      </c>
      <c r="B4" s="6" t="s">
        <v>28</v>
      </c>
      <c r="C4" s="6" t="s">
        <v>29</v>
      </c>
      <c r="D4" s="6" t="s">
        <v>30</v>
      </c>
      <c r="E4" s="6"/>
      <c r="F4" s="6" t="s">
        <v>80</v>
      </c>
      <c r="G4" s="6" t="s">
        <v>82</v>
      </c>
      <c r="H4" s="6" t="s">
        <v>83</v>
      </c>
      <c r="I4" s="6" t="s">
        <v>84</v>
      </c>
      <c r="J4" s="6"/>
      <c r="K4" s="6" t="s">
        <v>85</v>
      </c>
    </row>
    <row r="6" spans="1:11" x14ac:dyDescent="0.15">
      <c r="A6" s="63" t="s">
        <v>86</v>
      </c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x14ac:dyDescent="0.15">
      <c r="A7" s="7" t="s">
        <v>87</v>
      </c>
      <c r="B7" s="17"/>
      <c r="C7" s="17"/>
      <c r="D7" s="17"/>
      <c r="F7" s="18">
        <v>4.2000000000000003E-2</v>
      </c>
      <c r="G7" s="18">
        <v>4.2000000000000003E-2</v>
      </c>
      <c r="H7" s="18">
        <v>4.2000000000000003E-2</v>
      </c>
      <c r="I7" s="19">
        <f>CHOOSE(MATCH($B$2,{"Base","Bull","Bear"},0),F7,G7,H7)</f>
        <v>4.2000000000000003E-2</v>
      </c>
      <c r="K7" s="20" t="s">
        <v>88</v>
      </c>
    </row>
    <row r="8" spans="1:11" x14ac:dyDescent="0.15">
      <c r="A8" s="7" t="s">
        <v>89</v>
      </c>
      <c r="B8" s="21"/>
      <c r="C8" s="21"/>
      <c r="D8" s="21"/>
      <c r="F8" s="22">
        <v>1.05</v>
      </c>
      <c r="G8" s="22">
        <v>1</v>
      </c>
      <c r="H8" s="22">
        <v>1.1000000000000001</v>
      </c>
      <c r="I8" s="23">
        <f>CHOOSE(MATCH($B$2,{"Base","Bull","Bear"},0),F8,G8,H8)</f>
        <v>1.05</v>
      </c>
      <c r="K8" s="20" t="s">
        <v>90</v>
      </c>
    </row>
    <row r="9" spans="1:11" x14ac:dyDescent="0.15">
      <c r="A9" s="7" t="s">
        <v>91</v>
      </c>
      <c r="B9" s="17"/>
      <c r="C9" s="17"/>
      <c r="D9" s="17"/>
      <c r="F9" s="18">
        <v>0.05</v>
      </c>
      <c r="G9" s="18">
        <v>5.1999999999999998E-2</v>
      </c>
      <c r="H9" s="18">
        <v>4.8000000000000001E-2</v>
      </c>
      <c r="I9" s="19">
        <f>CHOOSE(MATCH($B$2,{"Base","Bull","Bear"},0),F9,G9,H9)</f>
        <v>0.05</v>
      </c>
      <c r="K9" s="20" t="s">
        <v>92</v>
      </c>
    </row>
    <row r="10" spans="1:11" x14ac:dyDescent="0.15">
      <c r="A10" s="7" t="s">
        <v>93</v>
      </c>
      <c r="B10" s="17"/>
      <c r="C10" s="17"/>
      <c r="D10" s="17"/>
      <c r="F10" s="18">
        <v>4.9000000000000002E-2</v>
      </c>
      <c r="G10" s="18">
        <v>4.8000000000000001E-2</v>
      </c>
      <c r="H10" s="18">
        <v>5.1999999999999998E-2</v>
      </c>
      <c r="I10" s="19">
        <f>CHOOSE(MATCH($B$2,{"Base","Bull","Bear"},0),F10,G10,H10)</f>
        <v>4.9000000000000002E-2</v>
      </c>
      <c r="K10" s="20" t="s">
        <v>94</v>
      </c>
    </row>
    <row r="11" spans="1:11" x14ac:dyDescent="0.15">
      <c r="A11" s="7" t="s">
        <v>95</v>
      </c>
      <c r="B11" s="24">
        <v>0.13900000000000001</v>
      </c>
      <c r="C11" s="24">
        <v>0.16400000000000001</v>
      </c>
      <c r="D11" s="24">
        <v>0.16800000000000001</v>
      </c>
      <c r="F11" s="25">
        <v>0.17</v>
      </c>
      <c r="G11" s="25">
        <v>0.16500000000000001</v>
      </c>
      <c r="H11" s="25">
        <v>0.18</v>
      </c>
      <c r="I11" s="26">
        <f>CHOOSE(MATCH($B$2,{"Base","Bull","Bear"},0),F11,G11,H11)</f>
        <v>0.17</v>
      </c>
      <c r="K11" s="20" t="s">
        <v>96</v>
      </c>
    </row>
    <row r="12" spans="1:11" x14ac:dyDescent="0.15">
      <c r="A12" s="7" t="s">
        <v>97</v>
      </c>
      <c r="B12" s="17"/>
      <c r="C12" s="17"/>
      <c r="D12" s="17"/>
      <c r="F12" s="18">
        <v>0.03</v>
      </c>
      <c r="G12" s="18">
        <v>2.5000000000000001E-2</v>
      </c>
      <c r="H12" s="18">
        <v>3.5000000000000003E-2</v>
      </c>
      <c r="I12" s="19">
        <f>CHOOSE(MATCH($B$2,{"Base","Bull","Bear"},0),F12,G12,H12)</f>
        <v>0.03</v>
      </c>
      <c r="K12" s="20" t="s">
        <v>98</v>
      </c>
    </row>
    <row r="13" spans="1:11" x14ac:dyDescent="0.15">
      <c r="A13" s="7" t="s">
        <v>99</v>
      </c>
      <c r="B13" s="17"/>
      <c r="C13" s="17"/>
      <c r="D13" s="17"/>
      <c r="F13" s="18">
        <v>0.03</v>
      </c>
      <c r="G13" s="18">
        <v>3.3000000000000002E-2</v>
      </c>
      <c r="H13" s="18">
        <v>2.7E-2</v>
      </c>
      <c r="I13" s="19">
        <f>CHOOSE(MATCH($B$2,{"Base","Bull","Bear"},0),F13,G13,H13)</f>
        <v>0.03</v>
      </c>
      <c r="K13" s="20" t="s">
        <v>100</v>
      </c>
    </row>
    <row r="15" spans="1:11" x14ac:dyDescent="0.15">
      <c r="A15" s="63" t="s">
        <v>101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</row>
    <row r="16" spans="1:11" x14ac:dyDescent="0.15">
      <c r="A16" s="7" t="s">
        <v>102</v>
      </c>
      <c r="I16" s="27">
        <f>I7+I8*I9</f>
        <v>9.4500000000000001E-2</v>
      </c>
    </row>
    <row r="17" spans="1:11" x14ac:dyDescent="0.15">
      <c r="A17" s="7" t="s">
        <v>103</v>
      </c>
      <c r="I17" s="27">
        <f>I10*(1-I11)</f>
        <v>4.0669999999999998E-2</v>
      </c>
    </row>
    <row r="18" spans="1:11" x14ac:dyDescent="0.15">
      <c r="A18" s="7" t="s">
        <v>104</v>
      </c>
      <c r="I18" s="28">
        <f>(1-I12)*I16+I12*I17</f>
        <v>9.2885099999999998E-2</v>
      </c>
    </row>
    <row r="20" spans="1:11" x14ac:dyDescent="0.15">
      <c r="A20" s="63" t="s">
        <v>105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1:11" x14ac:dyDescent="0.15">
      <c r="A21" s="7" t="s">
        <v>106</v>
      </c>
      <c r="B21" s="29">
        <v>110916</v>
      </c>
      <c r="C21" s="29">
        <v>95657</v>
      </c>
      <c r="D21" s="29">
        <v>126843</v>
      </c>
      <c r="F21" s="30">
        <v>126843</v>
      </c>
      <c r="G21" s="30">
        <v>126843</v>
      </c>
      <c r="H21" s="30">
        <v>126843</v>
      </c>
      <c r="I21" s="31">
        <f>CHOOSE(MATCH($B$2,{"Base","Bull","Bear"},0),F21,G21,H21)</f>
        <v>126843</v>
      </c>
      <c r="K21" s="20" t="s">
        <v>107</v>
      </c>
    </row>
    <row r="22" spans="1:11" x14ac:dyDescent="0.15">
      <c r="A22" s="7" t="s">
        <v>108</v>
      </c>
      <c r="B22" s="29">
        <v>12887</v>
      </c>
      <c r="C22" s="29">
        <v>10883</v>
      </c>
      <c r="D22" s="29">
        <v>46547</v>
      </c>
      <c r="F22" s="30">
        <v>46547</v>
      </c>
      <c r="G22" s="30">
        <v>46547</v>
      </c>
      <c r="H22" s="30">
        <v>46547</v>
      </c>
      <c r="I22" s="31">
        <f>CHOOSE(MATCH($B$2,{"Base","Bull","Bear"},0),F22,G22,H22)</f>
        <v>46547</v>
      </c>
      <c r="K22" s="20" t="s">
        <v>109</v>
      </c>
    </row>
    <row r="23" spans="1:11" x14ac:dyDescent="0.15">
      <c r="A23" s="7" t="s">
        <v>110</v>
      </c>
      <c r="B23" s="29">
        <v>12722</v>
      </c>
      <c r="C23" s="29">
        <v>12447</v>
      </c>
      <c r="D23" s="29">
        <v>12230</v>
      </c>
      <c r="F23" s="30">
        <v>12230</v>
      </c>
      <c r="G23" s="30">
        <v>12230</v>
      </c>
      <c r="H23" s="30">
        <v>12230</v>
      </c>
      <c r="I23" s="31">
        <f>CHOOSE(MATCH($B$2,{"Base","Bull","Bear"},0),F23,G23,H23)</f>
        <v>12230</v>
      </c>
      <c r="K23" s="20" t="s">
        <v>111</v>
      </c>
    </row>
    <row r="25" spans="1:11" x14ac:dyDescent="0.15">
      <c r="A25" s="63" t="s">
        <v>112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1" x14ac:dyDescent="0.15">
      <c r="A26" s="32" t="s">
        <v>113</v>
      </c>
      <c r="B26" s="6" t="s">
        <v>28</v>
      </c>
      <c r="C26" s="6" t="s">
        <v>29</v>
      </c>
      <c r="D26" s="6" t="s">
        <v>30</v>
      </c>
      <c r="F26" s="6" t="s">
        <v>31</v>
      </c>
      <c r="G26" s="6" t="s">
        <v>32</v>
      </c>
      <c r="H26" s="6" t="s">
        <v>33</v>
      </c>
      <c r="I26" s="6" t="s">
        <v>114</v>
      </c>
      <c r="J26" s="6" t="s">
        <v>115</v>
      </c>
    </row>
    <row r="27" spans="1:11" x14ac:dyDescent="0.15">
      <c r="A27" s="7" t="s">
        <v>116</v>
      </c>
      <c r="C27" s="33">
        <v>0.13169516605440121</v>
      </c>
      <c r="D27" s="33">
        <v>0.13351911310353179</v>
      </c>
      <c r="F27" s="25">
        <v>0.12</v>
      </c>
      <c r="G27" s="25">
        <v>0.1</v>
      </c>
      <c r="H27" s="25">
        <v>0.09</v>
      </c>
      <c r="I27" s="25">
        <v>0.08</v>
      </c>
      <c r="J27" s="25">
        <v>7.0000000000000007E-2</v>
      </c>
      <c r="K27" s="20" t="s">
        <v>117</v>
      </c>
    </row>
    <row r="28" spans="1:11" x14ac:dyDescent="0.15">
      <c r="A28" s="7" t="s">
        <v>118</v>
      </c>
      <c r="C28" s="33">
        <v>0.14715963186290071</v>
      </c>
      <c r="D28" s="33">
        <v>0.11674551138407049</v>
      </c>
      <c r="F28" s="25">
        <v>0.14000000000000001</v>
      </c>
      <c r="G28" s="25">
        <v>0.12</v>
      </c>
      <c r="H28" s="25">
        <v>0.1</v>
      </c>
      <c r="I28" s="25">
        <v>0.09</v>
      </c>
      <c r="J28" s="25">
        <v>0.08</v>
      </c>
      <c r="K28" s="20" t="s">
        <v>119</v>
      </c>
    </row>
    <row r="29" spans="1:11" x14ac:dyDescent="0.15">
      <c r="A29" s="7" t="s">
        <v>120</v>
      </c>
      <c r="C29" s="33">
        <v>-3.0435615738375051E-2</v>
      </c>
      <c r="D29" s="33">
        <v>-1.8676504496195508E-2</v>
      </c>
      <c r="F29" s="25">
        <v>-0.02</v>
      </c>
      <c r="G29" s="25">
        <v>-0.02</v>
      </c>
      <c r="H29" s="25">
        <v>-0.01</v>
      </c>
      <c r="I29" s="25">
        <v>-0.01</v>
      </c>
      <c r="J29" s="25">
        <v>0</v>
      </c>
      <c r="K29" s="20" t="s">
        <v>121</v>
      </c>
    </row>
    <row r="30" spans="1:11" x14ac:dyDescent="0.15">
      <c r="A30" s="7" t="s">
        <v>122</v>
      </c>
      <c r="C30" s="33">
        <v>0.1629381918819188</v>
      </c>
      <c r="D30" s="33">
        <v>0.1906296479920675</v>
      </c>
      <c r="F30" s="25">
        <v>0.18</v>
      </c>
      <c r="G30" s="25">
        <v>0.15</v>
      </c>
      <c r="H30" s="25">
        <v>0.13</v>
      </c>
      <c r="I30" s="25">
        <v>0.11</v>
      </c>
      <c r="J30" s="25">
        <v>0.09</v>
      </c>
      <c r="K30" s="20" t="s">
        <v>123</v>
      </c>
    </row>
    <row r="31" spans="1:11" x14ac:dyDescent="0.15">
      <c r="A31" s="7" t="s">
        <v>49</v>
      </c>
      <c r="C31" s="33">
        <v>0.30648573500967119</v>
      </c>
      <c r="D31" s="33">
        <v>0.35800041638714752</v>
      </c>
      <c r="F31" s="25">
        <v>0.3</v>
      </c>
      <c r="G31" s="25">
        <v>0.25</v>
      </c>
      <c r="H31" s="25">
        <v>0.22</v>
      </c>
      <c r="I31" s="25">
        <v>0.18</v>
      </c>
      <c r="J31" s="25">
        <v>0.15</v>
      </c>
      <c r="K31" s="20" t="s">
        <v>124</v>
      </c>
    </row>
    <row r="32" spans="1:11" x14ac:dyDescent="0.15">
      <c r="A32" s="7" t="s">
        <v>50</v>
      </c>
      <c r="C32" s="33">
        <v>7.9240340537000575E-2</v>
      </c>
      <c r="D32" s="33">
        <v>-6.7354368932038833E-2</v>
      </c>
      <c r="F32" s="25">
        <v>0.1</v>
      </c>
      <c r="G32" s="25">
        <v>0.15</v>
      </c>
      <c r="H32" s="25">
        <v>0.15</v>
      </c>
      <c r="I32" s="25">
        <v>0.15</v>
      </c>
      <c r="J32" s="25">
        <v>0.1</v>
      </c>
      <c r="K32" s="20" t="s">
        <v>125</v>
      </c>
    </row>
    <row r="34" spans="1:11" x14ac:dyDescent="0.15">
      <c r="A34" s="63" t="s">
        <v>126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1" x14ac:dyDescent="0.15">
      <c r="A35" s="7" t="s">
        <v>116</v>
      </c>
      <c r="F35" s="25">
        <v>0.15</v>
      </c>
      <c r="G35" s="25">
        <v>0.13</v>
      </c>
      <c r="H35" s="25">
        <v>0.11</v>
      </c>
      <c r="I35" s="25">
        <v>0.1</v>
      </c>
      <c r="J35" s="25">
        <v>0.09</v>
      </c>
    </row>
    <row r="36" spans="1:11" x14ac:dyDescent="0.15">
      <c r="A36" s="7" t="s">
        <v>118</v>
      </c>
      <c r="F36" s="25">
        <v>0.18</v>
      </c>
      <c r="G36" s="25">
        <v>0.15</v>
      </c>
      <c r="H36" s="25">
        <v>0.13</v>
      </c>
      <c r="I36" s="25">
        <v>0.11</v>
      </c>
      <c r="J36" s="25">
        <v>0.1</v>
      </c>
    </row>
    <row r="37" spans="1:11" x14ac:dyDescent="0.15">
      <c r="A37" s="7" t="s">
        <v>120</v>
      </c>
      <c r="F37" s="25">
        <v>-0.01</v>
      </c>
      <c r="G37" s="25">
        <v>0</v>
      </c>
      <c r="H37" s="25">
        <v>0</v>
      </c>
      <c r="I37" s="25">
        <v>0.01</v>
      </c>
      <c r="J37" s="25">
        <v>0.01</v>
      </c>
    </row>
    <row r="38" spans="1:11" x14ac:dyDescent="0.15">
      <c r="A38" s="7" t="s">
        <v>122</v>
      </c>
      <c r="F38" s="25">
        <v>0.22</v>
      </c>
      <c r="G38" s="25">
        <v>0.18</v>
      </c>
      <c r="H38" s="25">
        <v>0.15</v>
      </c>
      <c r="I38" s="25">
        <v>0.13</v>
      </c>
      <c r="J38" s="25">
        <v>0.11</v>
      </c>
    </row>
    <row r="39" spans="1:11" x14ac:dyDescent="0.15">
      <c r="A39" s="7" t="s">
        <v>49</v>
      </c>
      <c r="F39" s="25">
        <v>0.38</v>
      </c>
      <c r="G39" s="25">
        <v>0.3</v>
      </c>
      <c r="H39" s="25">
        <v>0.25</v>
      </c>
      <c r="I39" s="25">
        <v>0.2</v>
      </c>
      <c r="J39" s="25">
        <v>0.17</v>
      </c>
    </row>
    <row r="40" spans="1:11" x14ac:dyDescent="0.15">
      <c r="A40" s="7" t="s">
        <v>50</v>
      </c>
      <c r="F40" s="25">
        <v>0.15</v>
      </c>
      <c r="G40" s="25">
        <v>0.2</v>
      </c>
      <c r="H40" s="25">
        <v>0.2</v>
      </c>
      <c r="I40" s="25">
        <v>0.2</v>
      </c>
      <c r="J40" s="25">
        <v>0.15</v>
      </c>
    </row>
    <row r="42" spans="1:11" x14ac:dyDescent="0.15">
      <c r="A42" s="63" t="s">
        <v>127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spans="1:11" x14ac:dyDescent="0.15">
      <c r="A43" s="7" t="s">
        <v>116</v>
      </c>
      <c r="F43" s="25">
        <v>0.08</v>
      </c>
      <c r="G43" s="25">
        <v>7.0000000000000007E-2</v>
      </c>
      <c r="H43" s="25">
        <v>0.06</v>
      </c>
      <c r="I43" s="25">
        <v>0.05</v>
      </c>
      <c r="J43" s="25">
        <v>0.04</v>
      </c>
    </row>
    <row r="44" spans="1:11" x14ac:dyDescent="0.15">
      <c r="A44" s="7" t="s">
        <v>118</v>
      </c>
      <c r="F44" s="25">
        <v>0.08</v>
      </c>
      <c r="G44" s="25">
        <v>7.0000000000000007E-2</v>
      </c>
      <c r="H44" s="25">
        <v>0.06</v>
      </c>
      <c r="I44" s="25">
        <v>0.05</v>
      </c>
      <c r="J44" s="25">
        <v>0.04</v>
      </c>
    </row>
    <row r="45" spans="1:11" x14ac:dyDescent="0.15">
      <c r="A45" s="7" t="s">
        <v>120</v>
      </c>
      <c r="F45" s="25">
        <v>-0.05</v>
      </c>
      <c r="G45" s="25">
        <v>-0.04</v>
      </c>
      <c r="H45" s="25">
        <v>-0.03</v>
      </c>
      <c r="I45" s="25">
        <v>-0.03</v>
      </c>
      <c r="J45" s="25">
        <v>-0.02</v>
      </c>
    </row>
    <row r="46" spans="1:11" x14ac:dyDescent="0.15">
      <c r="A46" s="7" t="s">
        <v>122</v>
      </c>
      <c r="F46" s="25">
        <v>0.12</v>
      </c>
      <c r="G46" s="25">
        <v>0.1</v>
      </c>
      <c r="H46" s="25">
        <v>0.09</v>
      </c>
      <c r="I46" s="25">
        <v>0.08</v>
      </c>
      <c r="J46" s="25">
        <v>7.0000000000000007E-2</v>
      </c>
    </row>
    <row r="47" spans="1:11" x14ac:dyDescent="0.15">
      <c r="A47" s="7" t="s">
        <v>49</v>
      </c>
      <c r="F47" s="25">
        <v>0.22</v>
      </c>
      <c r="G47" s="25">
        <v>0.18</v>
      </c>
      <c r="H47" s="25">
        <v>0.15</v>
      </c>
      <c r="I47" s="25">
        <v>0.12</v>
      </c>
      <c r="J47" s="25">
        <v>0.1</v>
      </c>
    </row>
    <row r="48" spans="1:11" x14ac:dyDescent="0.15">
      <c r="A48" s="7" t="s">
        <v>50</v>
      </c>
      <c r="F48" s="25">
        <v>0</v>
      </c>
      <c r="G48" s="25">
        <v>0.05</v>
      </c>
      <c r="H48" s="25">
        <v>0.05</v>
      </c>
      <c r="I48" s="25">
        <v>0.05</v>
      </c>
      <c r="J48" s="25">
        <v>0.05</v>
      </c>
    </row>
    <row r="50" spans="1:11" x14ac:dyDescent="0.15">
      <c r="A50" s="63" t="s">
        <v>128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1" x14ac:dyDescent="0.15">
      <c r="A51" s="6" t="s">
        <v>129</v>
      </c>
      <c r="B51" s="6" t="s">
        <v>28</v>
      </c>
      <c r="C51" s="6" t="s">
        <v>29</v>
      </c>
      <c r="D51" s="6" t="s">
        <v>30</v>
      </c>
      <c r="E51" s="6"/>
      <c r="F51" s="6" t="s">
        <v>80</v>
      </c>
      <c r="G51" s="6" t="s">
        <v>82</v>
      </c>
      <c r="H51" s="6" t="s">
        <v>83</v>
      </c>
      <c r="I51" s="6" t="s">
        <v>84</v>
      </c>
      <c r="J51" s="6"/>
      <c r="K51" s="6" t="s">
        <v>130</v>
      </c>
    </row>
    <row r="52" spans="1:11" x14ac:dyDescent="0.15">
      <c r="A52" s="7" t="s">
        <v>131</v>
      </c>
      <c r="B52" s="24">
        <v>0.17</v>
      </c>
      <c r="C52" s="24">
        <v>0.14599999999999999</v>
      </c>
      <c r="D52" s="24">
        <v>0.13200000000000001</v>
      </c>
      <c r="F52" s="25">
        <v>0.128</v>
      </c>
      <c r="G52" s="25">
        <v>0.125</v>
      </c>
      <c r="H52" s="25">
        <v>0.13500000000000001</v>
      </c>
      <c r="I52" s="26">
        <f>CHOOSE(MATCH($B$2,{"Base","Bull","Bear"},0),F52,G52,H52)</f>
        <v>0.128</v>
      </c>
      <c r="K52" s="20" t="s">
        <v>132</v>
      </c>
    </row>
    <row r="53" spans="1:11" x14ac:dyDescent="0.15">
      <c r="A53" s="7" t="s">
        <v>133</v>
      </c>
      <c r="B53" s="24">
        <v>0.47899999999999998</v>
      </c>
      <c r="C53" s="24">
        <v>0.45600000000000002</v>
      </c>
      <c r="D53" s="24">
        <v>0.46100000000000002</v>
      </c>
      <c r="F53" s="25">
        <v>0.45500000000000002</v>
      </c>
      <c r="G53" s="25">
        <v>0.44800000000000001</v>
      </c>
      <c r="H53" s="25">
        <v>0.46800000000000003</v>
      </c>
      <c r="I53" s="26">
        <f>CHOOSE(MATCH($B$2,{"Base","Bull","Bear"},0),F53,G53,H53)</f>
        <v>0.45500000000000002</v>
      </c>
      <c r="K53" s="20" t="s">
        <v>134</v>
      </c>
    </row>
    <row r="54" spans="1:11" x14ac:dyDescent="0.15">
      <c r="A54" s="7" t="s">
        <v>135</v>
      </c>
      <c r="B54" s="24">
        <v>0.57599999999999996</v>
      </c>
      <c r="C54" s="24">
        <v>0.47499999999999998</v>
      </c>
      <c r="D54" s="24">
        <v>0.376</v>
      </c>
      <c r="F54" s="25">
        <v>0.34</v>
      </c>
      <c r="G54" s="25">
        <v>0.33</v>
      </c>
      <c r="H54" s="25">
        <v>0.36</v>
      </c>
      <c r="I54" s="26">
        <f>CHOOSE(MATCH($B$2,{"Base","Bull","Bear"},0),F54,G54,H54)</f>
        <v>0.34</v>
      </c>
      <c r="K54" s="20" t="s">
        <v>136</v>
      </c>
    </row>
    <row r="55" spans="1:11" x14ac:dyDescent="0.15">
      <c r="A55" s="7" t="s">
        <v>137</v>
      </c>
      <c r="B55" s="24">
        <v>0.372</v>
      </c>
      <c r="C55" s="24">
        <v>0.38400000000000001</v>
      </c>
      <c r="D55" s="24">
        <v>0.38700000000000001</v>
      </c>
      <c r="F55" s="25">
        <v>0.38</v>
      </c>
      <c r="G55" s="25">
        <v>0.37</v>
      </c>
      <c r="H55" s="25">
        <v>0.39500000000000002</v>
      </c>
      <c r="I55" s="26">
        <f>CHOOSE(MATCH($B$2,{"Base","Bull","Bear"},0),F55,G55,H55)</f>
        <v>0.38</v>
      </c>
      <c r="K55" s="20" t="s">
        <v>138</v>
      </c>
    </row>
    <row r="56" spans="1:11" x14ac:dyDescent="0.15">
      <c r="A56" s="7" t="s">
        <v>139</v>
      </c>
      <c r="B56" s="24">
        <v>-2.6819999999999999</v>
      </c>
      <c r="C56" s="24">
        <v>-2.6960000000000002</v>
      </c>
      <c r="D56" s="24">
        <v>-4.8890000000000002</v>
      </c>
      <c r="F56" s="25">
        <v>-3.5</v>
      </c>
      <c r="G56" s="25">
        <v>-3</v>
      </c>
      <c r="H56" s="25">
        <v>-4.5</v>
      </c>
      <c r="I56" s="26">
        <f>CHOOSE(MATCH($B$2,{"Base","Bull","Bear"},0),F56,G56,H56)</f>
        <v>-3.5</v>
      </c>
      <c r="K56" s="20" t="s">
        <v>140</v>
      </c>
    </row>
    <row r="57" spans="1:11" x14ac:dyDescent="0.15">
      <c r="A57" s="7" t="s">
        <v>141</v>
      </c>
      <c r="B57" s="29">
        <v>9186</v>
      </c>
      <c r="C57" s="29">
        <v>10541</v>
      </c>
      <c r="D57" s="29">
        <v>16760</v>
      </c>
      <c r="F57" s="30">
        <v>18000</v>
      </c>
      <c r="G57" s="30">
        <v>17000</v>
      </c>
      <c r="H57" s="30">
        <v>20000</v>
      </c>
      <c r="I57" s="31">
        <f>CHOOSE(MATCH($B$2,{"Base","Bull","Bear"},0),F57,G57,H57)</f>
        <v>18000</v>
      </c>
      <c r="K57" s="20" t="s">
        <v>142</v>
      </c>
    </row>
    <row r="59" spans="1:11" x14ac:dyDescent="0.15">
      <c r="A59" s="63" t="s">
        <v>143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</row>
    <row r="60" spans="1:11" x14ac:dyDescent="0.15">
      <c r="A60" s="6" t="s">
        <v>144</v>
      </c>
      <c r="B60" s="6" t="s">
        <v>28</v>
      </c>
      <c r="C60" s="6" t="s">
        <v>29</v>
      </c>
      <c r="D60" s="6" t="s">
        <v>30</v>
      </c>
      <c r="E60" s="6"/>
      <c r="F60" s="6" t="s">
        <v>80</v>
      </c>
      <c r="G60" s="6" t="s">
        <v>82</v>
      </c>
      <c r="H60" s="6" t="s">
        <v>83</v>
      </c>
      <c r="I60" s="6" t="s">
        <v>84</v>
      </c>
      <c r="J60" s="6"/>
      <c r="K60" s="6" t="s">
        <v>130</v>
      </c>
    </row>
    <row r="61" spans="1:11" x14ac:dyDescent="0.15">
      <c r="A61" s="7" t="s">
        <v>145</v>
      </c>
      <c r="B61" s="24">
        <v>0.20699999999999999</v>
      </c>
      <c r="C61" s="24">
        <v>0.20699999999999999</v>
      </c>
      <c r="D61" s="24">
        <v>0.20300000000000001</v>
      </c>
      <c r="F61" s="25">
        <v>0.2</v>
      </c>
      <c r="G61" s="25">
        <v>0.19800000000000001</v>
      </c>
      <c r="H61" s="25">
        <v>0.20799999999999999</v>
      </c>
      <c r="I61" s="26">
        <f>CHOOSE(MATCH($B$2,{"Base","Bull","Bear"},0),F61,G61,H61)</f>
        <v>0.2</v>
      </c>
      <c r="K61" s="20" t="s">
        <v>146</v>
      </c>
    </row>
    <row r="62" spans="1:11" x14ac:dyDescent="0.15">
      <c r="A62" s="7" t="s">
        <v>147</v>
      </c>
      <c r="B62" s="24">
        <v>0.27300000000000002</v>
      </c>
      <c r="C62" s="24">
        <v>0.26100000000000001</v>
      </c>
      <c r="D62" s="24">
        <v>0.255</v>
      </c>
      <c r="F62" s="25">
        <v>0.25</v>
      </c>
      <c r="G62" s="25">
        <v>0.245</v>
      </c>
      <c r="H62" s="25">
        <v>0.26</v>
      </c>
      <c r="I62" s="26">
        <f>CHOOSE(MATCH($B$2,{"Base","Bull","Bear"},0),F62,G62,H62)</f>
        <v>0.25</v>
      </c>
      <c r="K62" s="20" t="s">
        <v>148</v>
      </c>
    </row>
    <row r="63" spans="1:11" x14ac:dyDescent="0.15">
      <c r="A63" s="7" t="s">
        <v>149</v>
      </c>
      <c r="B63" s="24">
        <v>0.14799999999999999</v>
      </c>
      <c r="C63" s="24">
        <v>0.14099999999999999</v>
      </c>
      <c r="D63" s="24">
        <v>0.152</v>
      </c>
      <c r="F63" s="25">
        <v>0.14499999999999999</v>
      </c>
      <c r="G63" s="25">
        <v>0.14000000000000001</v>
      </c>
      <c r="H63" s="25">
        <v>0.155</v>
      </c>
      <c r="I63" s="26">
        <f>CHOOSE(MATCH($B$2,{"Base","Bull","Bear"},0),F63,G63,H63)</f>
        <v>0.14499999999999999</v>
      </c>
      <c r="K63" s="20" t="s">
        <v>150</v>
      </c>
    </row>
    <row r="64" spans="1:11" x14ac:dyDescent="0.15">
      <c r="A64" s="7" t="s">
        <v>151</v>
      </c>
      <c r="B64" s="24">
        <v>9.0999999999999998E-2</v>
      </c>
      <c r="C64" s="24">
        <v>7.9000000000000001E-2</v>
      </c>
      <c r="D64" s="24">
        <v>7.0999999999999994E-2</v>
      </c>
      <c r="F64" s="25">
        <v>6.8000000000000005E-2</v>
      </c>
      <c r="G64" s="25">
        <v>6.5000000000000002E-2</v>
      </c>
      <c r="H64" s="25">
        <v>7.3999999999999996E-2</v>
      </c>
      <c r="I64" s="26">
        <f>CHOOSE(MATCH($B$2,{"Base","Bull","Bear"},0),F64,G64,H64)</f>
        <v>6.8000000000000005E-2</v>
      </c>
      <c r="K64" s="20" t="s">
        <v>152</v>
      </c>
    </row>
    <row r="65" spans="1:11" x14ac:dyDescent="0.15">
      <c r="A65" s="7" t="s">
        <v>153</v>
      </c>
      <c r="B65" s="24">
        <v>5.2999999999999999E-2</v>
      </c>
      <c r="C65" s="24">
        <v>4.1000000000000002E-2</v>
      </c>
      <c r="D65" s="24">
        <v>5.2999999999999999E-2</v>
      </c>
      <c r="F65" s="25">
        <v>0.04</v>
      </c>
      <c r="G65" s="25">
        <v>3.7999999999999999E-2</v>
      </c>
      <c r="H65" s="25">
        <v>4.4999999999999998E-2</v>
      </c>
      <c r="I65" s="26">
        <f>CHOOSE(MATCH($B$2,{"Base","Bull","Bear"},0),F65,G65,H65)</f>
        <v>0.04</v>
      </c>
      <c r="K65" s="20" t="s">
        <v>154</v>
      </c>
    </row>
    <row r="66" spans="1:11" x14ac:dyDescent="0.15">
      <c r="A66" s="7" t="s">
        <v>155</v>
      </c>
      <c r="B66" s="24">
        <v>3.9E-2</v>
      </c>
      <c r="C66" s="24">
        <v>4.3999999999999997E-2</v>
      </c>
      <c r="D66" s="24">
        <v>5.1999999999999998E-2</v>
      </c>
      <c r="F66" s="25">
        <v>5.5E-2</v>
      </c>
      <c r="G66" s="25">
        <v>5.2999999999999999E-2</v>
      </c>
      <c r="H66" s="25">
        <v>5.8000000000000003E-2</v>
      </c>
      <c r="I66" s="26">
        <f>CHOOSE(MATCH($B$2,{"Base","Bull","Bear"},0),F66,G66,H66)</f>
        <v>5.5E-2</v>
      </c>
      <c r="K66" s="20" t="s">
        <v>156</v>
      </c>
    </row>
    <row r="67" spans="1:11" x14ac:dyDescent="0.15">
      <c r="A67" s="7" t="s">
        <v>157</v>
      </c>
      <c r="B67" s="24">
        <v>7.2999999999999995E-2</v>
      </c>
      <c r="C67" s="24">
        <v>6.5000000000000002E-2</v>
      </c>
      <c r="D67" s="24">
        <v>6.2E-2</v>
      </c>
      <c r="F67" s="25">
        <v>5.8000000000000003E-2</v>
      </c>
      <c r="G67" s="25">
        <v>5.5E-2</v>
      </c>
      <c r="H67" s="25">
        <v>6.3E-2</v>
      </c>
      <c r="I67" s="26">
        <f>CHOOSE(MATCH($B$2,{"Base","Bull","Bear"},0),F67,G67,H67)</f>
        <v>5.8000000000000003E-2</v>
      </c>
      <c r="K67" s="20" t="s">
        <v>158</v>
      </c>
    </row>
    <row r="68" spans="1:11" x14ac:dyDescent="0.15">
      <c r="A68" s="7" t="s">
        <v>159</v>
      </c>
      <c r="B68" s="24"/>
      <c r="C68" s="24"/>
      <c r="D68" s="24"/>
      <c r="F68" s="25">
        <v>5.0000000000000001E-3</v>
      </c>
      <c r="G68" s="25">
        <v>4.0000000000000001E-3</v>
      </c>
      <c r="H68" s="25">
        <v>7.0000000000000001E-3</v>
      </c>
      <c r="I68" s="26">
        <f>CHOOSE(MATCH($B$2,{"Base","Bull","Bear"},0),F68,G68,H68)</f>
        <v>5.0000000000000001E-3</v>
      </c>
      <c r="K68" s="20" t="s">
        <v>160</v>
      </c>
    </row>
    <row r="70" spans="1:11" x14ac:dyDescent="0.15">
      <c r="A70" s="63" t="s">
        <v>161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</row>
    <row r="71" spans="1:11" x14ac:dyDescent="0.15">
      <c r="A71" s="6" t="s">
        <v>162</v>
      </c>
      <c r="B71" s="6" t="s">
        <v>28</v>
      </c>
      <c r="C71" s="6" t="s">
        <v>29</v>
      </c>
      <c r="D71" s="6" t="s">
        <v>30</v>
      </c>
      <c r="E71" s="6"/>
      <c r="F71" s="6" t="s">
        <v>80</v>
      </c>
      <c r="G71" s="6" t="s">
        <v>82</v>
      </c>
      <c r="H71" s="6" t="s">
        <v>83</v>
      </c>
      <c r="I71" s="6" t="s">
        <v>84</v>
      </c>
      <c r="J71" s="6"/>
      <c r="K71" s="6" t="s">
        <v>130</v>
      </c>
    </row>
    <row r="72" spans="1:11" x14ac:dyDescent="0.15">
      <c r="A72" s="7" t="s">
        <v>163</v>
      </c>
      <c r="B72" s="29">
        <v>32251</v>
      </c>
      <c r="C72" s="29">
        <v>52535</v>
      </c>
      <c r="D72" s="29">
        <v>91447</v>
      </c>
      <c r="F72" s="30">
        <v>180000</v>
      </c>
      <c r="G72" s="30">
        <v>185000</v>
      </c>
      <c r="H72" s="30">
        <v>175000</v>
      </c>
      <c r="I72" s="31">
        <f>CHOOSE(MATCH($B$2,{"Base","Bull","Bear"},0),F72,G72,H72)</f>
        <v>180000</v>
      </c>
      <c r="K72" s="20" t="s">
        <v>164</v>
      </c>
    </row>
    <row r="73" spans="1:11" x14ac:dyDescent="0.15">
      <c r="A73" s="7" t="s">
        <v>165</v>
      </c>
      <c r="B73" s="29"/>
      <c r="C73" s="29"/>
      <c r="D73" s="29"/>
      <c r="F73" s="30">
        <v>160000</v>
      </c>
      <c r="G73" s="30">
        <v>170000</v>
      </c>
      <c r="H73" s="30">
        <v>155000</v>
      </c>
      <c r="I73" s="31">
        <f>CHOOSE(MATCH($B$2,{"Base","Bull","Bear"},0),F73,G73,H73)</f>
        <v>160000</v>
      </c>
      <c r="K73" s="20" t="s">
        <v>166</v>
      </c>
    </row>
    <row r="74" spans="1:11" x14ac:dyDescent="0.15">
      <c r="A74" s="7" t="s">
        <v>167</v>
      </c>
      <c r="B74" s="29"/>
      <c r="C74" s="29"/>
      <c r="D74" s="29"/>
      <c r="F74" s="30">
        <v>140000</v>
      </c>
      <c r="G74" s="30">
        <v>150000</v>
      </c>
      <c r="H74" s="30">
        <v>135000</v>
      </c>
      <c r="I74" s="31">
        <f>CHOOSE(MATCH($B$2,{"Base","Bull","Bear"},0),F74,G74,H74)</f>
        <v>140000</v>
      </c>
      <c r="K74" s="20" t="s">
        <v>168</v>
      </c>
    </row>
    <row r="75" spans="1:11" x14ac:dyDescent="0.15">
      <c r="A75" s="7" t="s">
        <v>169</v>
      </c>
      <c r="B75" s="29"/>
      <c r="C75" s="29"/>
      <c r="D75" s="29"/>
      <c r="F75" s="30">
        <v>120000</v>
      </c>
      <c r="G75" s="30">
        <v>130000</v>
      </c>
      <c r="H75" s="30">
        <v>115000</v>
      </c>
      <c r="I75" s="31">
        <f>CHOOSE(MATCH($B$2,{"Base","Bull","Bear"},0),F75,G75,H75)</f>
        <v>120000</v>
      </c>
      <c r="K75" s="20" t="s">
        <v>170</v>
      </c>
    </row>
    <row r="76" spans="1:11" x14ac:dyDescent="0.15">
      <c r="A76" s="7" t="s">
        <v>171</v>
      </c>
      <c r="B76" s="29"/>
      <c r="C76" s="29"/>
      <c r="D76" s="29"/>
      <c r="F76" s="30">
        <v>105000</v>
      </c>
      <c r="G76" s="30">
        <v>115000</v>
      </c>
      <c r="H76" s="30">
        <v>100000</v>
      </c>
      <c r="I76" s="31">
        <f>CHOOSE(MATCH($B$2,{"Base","Bull","Bear"},0),F76,G76,H76)</f>
        <v>105000</v>
      </c>
      <c r="K76" s="20" t="s">
        <v>172</v>
      </c>
    </row>
    <row r="78" spans="1:11" x14ac:dyDescent="0.15">
      <c r="A78" s="63" t="s">
        <v>173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</row>
    <row r="79" spans="1:11" x14ac:dyDescent="0.15">
      <c r="A79" s="7" t="s">
        <v>174</v>
      </c>
      <c r="B79" s="29">
        <v>62184</v>
      </c>
      <c r="C79" s="29">
        <v>62047</v>
      </c>
      <c r="D79" s="29">
        <v>45398</v>
      </c>
      <c r="F79" s="30">
        <v>50000</v>
      </c>
      <c r="G79" s="30">
        <v>55000</v>
      </c>
      <c r="H79" s="30">
        <v>40000</v>
      </c>
      <c r="I79" s="31">
        <f>CHOOSE(MATCH($B$2,{"Base","Bull","Bear"},0),F79,G79,H79)</f>
        <v>50000</v>
      </c>
      <c r="K79" s="20" t="s">
        <v>175</v>
      </c>
    </row>
    <row r="80" spans="1:11" x14ac:dyDescent="0.15">
      <c r="A80" s="7" t="s">
        <v>176</v>
      </c>
      <c r="B80" s="34">
        <v>0</v>
      </c>
      <c r="C80" s="34">
        <v>0.6</v>
      </c>
      <c r="D80" s="34">
        <v>0.83</v>
      </c>
      <c r="F80" s="35">
        <v>0.88</v>
      </c>
      <c r="G80" s="35">
        <v>0.92</v>
      </c>
      <c r="H80" s="35">
        <v>0.84</v>
      </c>
      <c r="I80" s="36">
        <f>CHOOSE(MATCH($B$2,{"Base","Bull","Bear"},0),F80,G80,H80)</f>
        <v>0.88</v>
      </c>
      <c r="K80" s="20" t="s">
        <v>177</v>
      </c>
    </row>
    <row r="82" spans="1:11" x14ac:dyDescent="0.15">
      <c r="A82" s="63" t="s">
        <v>178</v>
      </c>
      <c r="B82" s="64"/>
      <c r="C82" s="64"/>
      <c r="D82" s="64"/>
      <c r="E82" s="64"/>
      <c r="F82" s="64"/>
      <c r="G82" s="64"/>
      <c r="H82" s="64"/>
      <c r="I82" s="64"/>
      <c r="J82" s="64"/>
      <c r="K82" s="64"/>
    </row>
    <row r="83" spans="1:11" x14ac:dyDescent="0.15">
      <c r="A83" s="6" t="s">
        <v>179</v>
      </c>
      <c r="B83" s="6" t="s">
        <v>28</v>
      </c>
      <c r="C83" s="6" t="s">
        <v>29</v>
      </c>
      <c r="D83" s="6" t="s">
        <v>30</v>
      </c>
      <c r="E83" s="6"/>
      <c r="F83" s="6" t="s">
        <v>80</v>
      </c>
      <c r="G83" s="6" t="s">
        <v>82</v>
      </c>
      <c r="H83" s="6" t="s">
        <v>83</v>
      </c>
      <c r="I83" s="6" t="s">
        <v>84</v>
      </c>
      <c r="J83" s="6"/>
      <c r="K83" s="6" t="s">
        <v>130</v>
      </c>
    </row>
    <row r="84" spans="1:11" x14ac:dyDescent="0.15">
      <c r="A84" s="7" t="s">
        <v>180</v>
      </c>
      <c r="B84" s="37">
        <v>47.8</v>
      </c>
      <c r="C84" s="37">
        <v>54.6</v>
      </c>
      <c r="D84" s="37">
        <v>57</v>
      </c>
      <c r="F84" s="38">
        <v>55</v>
      </c>
      <c r="G84" s="38">
        <v>53</v>
      </c>
      <c r="H84" s="38">
        <v>58</v>
      </c>
      <c r="I84" s="39">
        <f>CHOOSE(MATCH($B$2,{"Base","Bull","Bear"},0),F84,G84,H84)</f>
        <v>55</v>
      </c>
      <c r="K84" s="20" t="s">
        <v>181</v>
      </c>
    </row>
    <row r="85" spans="1:11" x14ac:dyDescent="0.15">
      <c r="A85" s="7" t="s">
        <v>182</v>
      </c>
      <c r="B85" s="37">
        <v>19.399999999999999</v>
      </c>
      <c r="C85" s="37">
        <v>19.899999999999999</v>
      </c>
      <c r="D85" s="37">
        <v>27.4</v>
      </c>
      <c r="F85" s="38">
        <v>26</v>
      </c>
      <c r="G85" s="38">
        <v>27</v>
      </c>
      <c r="H85" s="38">
        <v>24</v>
      </c>
      <c r="I85" s="39">
        <f>CHOOSE(MATCH($B$2,{"Base","Bull","Bear"},0),F85,G85,H85)</f>
        <v>26</v>
      </c>
      <c r="K85" s="20" t="s">
        <v>183</v>
      </c>
    </row>
    <row r="86" spans="1:11" x14ac:dyDescent="0.15">
      <c r="A86" s="7" t="s">
        <v>184</v>
      </c>
      <c r="B86" s="24">
        <v>4.5999999999999999E-2</v>
      </c>
      <c r="C86" s="24">
        <v>4.2999999999999997E-2</v>
      </c>
      <c r="D86" s="24">
        <v>4.3999999999999997E-2</v>
      </c>
      <c r="F86" s="25">
        <v>4.2999999999999997E-2</v>
      </c>
      <c r="G86" s="25">
        <v>4.2000000000000003E-2</v>
      </c>
      <c r="H86" s="25">
        <v>4.4999999999999998E-2</v>
      </c>
      <c r="I86" s="26">
        <f>CHOOSE(MATCH($B$2,{"Base","Bull","Bear"},0),F86,G86,H86)</f>
        <v>4.2999999999999997E-2</v>
      </c>
      <c r="K86" s="20" t="s">
        <v>185</v>
      </c>
    </row>
    <row r="87" spans="1:11" x14ac:dyDescent="0.15">
      <c r="A87" s="7" t="s">
        <v>186</v>
      </c>
      <c r="B87" s="24">
        <v>0.14000000000000001</v>
      </c>
      <c r="C87" s="24">
        <v>0.14599999999999999</v>
      </c>
      <c r="D87" s="24">
        <v>0.13800000000000001</v>
      </c>
      <c r="F87" s="25">
        <v>0.13500000000000001</v>
      </c>
      <c r="G87" s="25">
        <v>0.13</v>
      </c>
      <c r="H87" s="25">
        <v>0.14199999999999999</v>
      </c>
      <c r="I87" s="26">
        <f>CHOOSE(MATCH($B$2,{"Base","Bull","Bear"},0),F87,G87,H87)</f>
        <v>0.13500000000000001</v>
      </c>
      <c r="K87" s="20" t="s">
        <v>187</v>
      </c>
    </row>
    <row r="88" spans="1:11" x14ac:dyDescent="0.15">
      <c r="A88" s="7" t="s">
        <v>188</v>
      </c>
      <c r="B88" s="24">
        <v>3.6999999999999998E-2</v>
      </c>
      <c r="C88" s="24">
        <v>3.6999999999999998E-2</v>
      </c>
      <c r="D88" s="24">
        <v>3.6999999999999998E-2</v>
      </c>
      <c r="F88" s="25">
        <v>3.5999999999999997E-2</v>
      </c>
      <c r="G88" s="25">
        <v>3.5000000000000003E-2</v>
      </c>
      <c r="H88" s="25">
        <v>3.7999999999999999E-2</v>
      </c>
      <c r="I88" s="26">
        <f>CHOOSE(MATCH($B$2,{"Base","Bull","Bear"},0),F88,G88,H88)</f>
        <v>3.5999999999999997E-2</v>
      </c>
      <c r="K88" s="20" t="s">
        <v>189</v>
      </c>
    </row>
    <row r="89" spans="1:11" x14ac:dyDescent="0.15">
      <c r="A89" s="7" t="s">
        <v>190</v>
      </c>
      <c r="B89" s="24"/>
      <c r="C89" s="24">
        <v>0.26100000000000001</v>
      </c>
      <c r="D89" s="24">
        <v>0.30599999999999999</v>
      </c>
      <c r="F89" s="25">
        <v>0.15</v>
      </c>
      <c r="G89" s="25">
        <v>0.18</v>
      </c>
      <c r="H89" s="25">
        <v>0.12</v>
      </c>
      <c r="I89" s="26">
        <f>CHOOSE(MATCH($B$2,{"Base","Bull","Bear"},0),F89,G89,H89)</f>
        <v>0.15</v>
      </c>
      <c r="K89" s="20" t="s">
        <v>191</v>
      </c>
    </row>
    <row r="90" spans="1:11" x14ac:dyDescent="0.15">
      <c r="A90" s="7" t="s">
        <v>192</v>
      </c>
      <c r="B90" s="24"/>
      <c r="C90" s="24">
        <v>-4.7E-2</v>
      </c>
      <c r="D90" s="24">
        <v>0.12</v>
      </c>
      <c r="F90" s="25">
        <v>0.05</v>
      </c>
      <c r="G90" s="25">
        <v>0.06</v>
      </c>
      <c r="H90" s="25">
        <v>0.03</v>
      </c>
      <c r="I90" s="26">
        <f>CHOOSE(MATCH($B$2,{"Base","Bull","Bear"},0),F90,G90,H90)</f>
        <v>0.05</v>
      </c>
      <c r="K90" s="20" t="s">
        <v>193</v>
      </c>
    </row>
    <row r="91" spans="1:11" x14ac:dyDescent="0.15">
      <c r="A91" s="7" t="s">
        <v>194</v>
      </c>
      <c r="B91" s="24"/>
      <c r="C91" s="24">
        <v>0.22500000000000001</v>
      </c>
      <c r="D91" s="24">
        <v>0.80800000000000005</v>
      </c>
      <c r="F91" s="25">
        <v>0.15</v>
      </c>
      <c r="G91" s="25">
        <v>0.2</v>
      </c>
      <c r="H91" s="25">
        <v>0.1</v>
      </c>
      <c r="I91" s="26">
        <f>CHOOSE(MATCH($B$2,{"Base","Bull","Bear"},0),F91,G91,H91)</f>
        <v>0.15</v>
      </c>
      <c r="K91" s="20" t="s">
        <v>195</v>
      </c>
    </row>
    <row r="95" spans="1:11" x14ac:dyDescent="0.15">
      <c r="A95" s="15" t="s">
        <v>67</v>
      </c>
    </row>
    <row r="96" spans="1:11" x14ac:dyDescent="0.15">
      <c r="A96" s="14" t="s">
        <v>68</v>
      </c>
    </row>
    <row r="97" spans="1:1" x14ac:dyDescent="0.15">
      <c r="A97" s="14" t="s">
        <v>69</v>
      </c>
    </row>
    <row r="98" spans="1:1" x14ac:dyDescent="0.15">
      <c r="A98" s="14" t="s">
        <v>70</v>
      </c>
    </row>
    <row r="99" spans="1:1" x14ac:dyDescent="0.15">
      <c r="A99" s="14" t="s">
        <v>71</v>
      </c>
    </row>
    <row r="100" spans="1:1" x14ac:dyDescent="0.15">
      <c r="A100" s="14" t="s">
        <v>72</v>
      </c>
    </row>
    <row r="102" spans="1:1" x14ac:dyDescent="0.15">
      <c r="A102" s="15" t="s">
        <v>73</v>
      </c>
    </row>
    <row r="103" spans="1:1" x14ac:dyDescent="0.15">
      <c r="A103" s="14" t="s">
        <v>74</v>
      </c>
    </row>
    <row r="104" spans="1:1" x14ac:dyDescent="0.15">
      <c r="A104" s="14" t="s">
        <v>75</v>
      </c>
    </row>
    <row r="105" spans="1:1" x14ac:dyDescent="0.15">
      <c r="A105" s="14" t="s">
        <v>76</v>
      </c>
    </row>
    <row r="106" spans="1:1" x14ac:dyDescent="0.15">
      <c r="A106" s="14" t="s">
        <v>77</v>
      </c>
    </row>
  </sheetData>
  <mergeCells count="11">
    <mergeCell ref="A82:K82"/>
    <mergeCell ref="A42:K42"/>
    <mergeCell ref="A70:K70"/>
    <mergeCell ref="A6:K6"/>
    <mergeCell ref="A34:K34"/>
    <mergeCell ref="A50:K50"/>
    <mergeCell ref="A20:K20"/>
    <mergeCell ref="A78:K78"/>
    <mergeCell ref="A15:K15"/>
    <mergeCell ref="A59:K59"/>
    <mergeCell ref="A25:K25"/>
  </mergeCells>
  <phoneticPr fontId="14" type="noConversion"/>
  <dataValidations count="1">
    <dataValidation type="list" sqref="B2" xr:uid="{00000000-0002-0000-0200-000000000000}">
      <formula1>"Base,Bull,Bear"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0" customWidth="1"/>
    <col min="2" max="10" width="15" customWidth="1"/>
    <col min="11" max="11" width="38" customWidth="1"/>
  </cols>
  <sheetData>
    <row r="1" spans="1:11" ht="18.75" x14ac:dyDescent="0.25">
      <c r="A1" s="4" t="s">
        <v>196</v>
      </c>
    </row>
    <row r="2" spans="1:11" x14ac:dyDescent="0.15">
      <c r="A2" s="5" t="s">
        <v>197</v>
      </c>
    </row>
    <row r="4" spans="1:11" x14ac:dyDescent="0.15">
      <c r="A4" s="40"/>
      <c r="B4" s="6">
        <v>2023</v>
      </c>
      <c r="C4" s="6">
        <v>2024</v>
      </c>
      <c r="D4" s="6">
        <v>2025</v>
      </c>
      <c r="E4" s="6" t="s">
        <v>31</v>
      </c>
      <c r="F4" s="6" t="s">
        <v>32</v>
      </c>
      <c r="G4" s="6" t="s">
        <v>33</v>
      </c>
      <c r="H4" s="6" t="s">
        <v>114</v>
      </c>
      <c r="I4" s="6" t="s">
        <v>115</v>
      </c>
      <c r="K4" s="6" t="s">
        <v>85</v>
      </c>
    </row>
    <row r="6" spans="1:11" x14ac:dyDescent="0.15">
      <c r="A6" s="63" t="s">
        <v>198</v>
      </c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x14ac:dyDescent="0.15">
      <c r="A7" s="7" t="s">
        <v>116</v>
      </c>
      <c r="B7" s="41">
        <v>175033</v>
      </c>
      <c r="C7" s="41">
        <v>198084</v>
      </c>
      <c r="D7" s="41">
        <v>224532</v>
      </c>
      <c r="E7" s="42">
        <f>D7*(1+CHOOSE(MATCH(Assumptions!$B$2,{"Base","Bull","Bear"},0),Assumptions!F$27,Assumptions!F$35,Assumptions!F$43))</f>
        <v>251475.84000000003</v>
      </c>
      <c r="F7" s="42">
        <f>E7*(1+CHOOSE(MATCH(Assumptions!$B$2,{"Base","Bull","Bear"},0),Assumptions!G$27,Assumptions!G$35,Assumptions!G$43))</f>
        <v>276623.42400000006</v>
      </c>
      <c r="G7" s="42">
        <f>F7*(1+CHOOSE(MATCH(Assumptions!$B$2,{"Base","Bull","Bear"},0),Assumptions!H$27,Assumptions!H$35,Assumptions!H$43))</f>
        <v>301519.53216000006</v>
      </c>
      <c r="H7" s="42">
        <f>G7*(1+CHOOSE(MATCH(Assumptions!$B$2,{"Base","Bull","Bear"},0),Assumptions!I$27,Assumptions!I$35,Assumptions!I$43))</f>
        <v>325641.09473280009</v>
      </c>
      <c r="I7" s="42">
        <f>H7*(1+CHOOSE(MATCH(Assumptions!$B$2,{"Base","Bull","Bear"},0),Assumptions!J$27,Assumptions!J$35,Assumptions!J$43))</f>
        <v>348435.9713640961</v>
      </c>
      <c r="K7" s="20" t="s">
        <v>199</v>
      </c>
    </row>
    <row r="8" spans="1:11" x14ac:dyDescent="0.15">
      <c r="A8" s="12" t="s">
        <v>200</v>
      </c>
      <c r="C8" s="10">
        <f t="shared" ref="C8:I8" si="0">C7/B7-1</f>
        <v>0.13169516605440124</v>
      </c>
      <c r="D8" s="10">
        <f t="shared" si="0"/>
        <v>0.13351911310353182</v>
      </c>
      <c r="E8" s="10">
        <f t="shared" si="0"/>
        <v>0.12000000000000011</v>
      </c>
      <c r="F8" s="10">
        <f t="shared" si="0"/>
        <v>0.10000000000000009</v>
      </c>
      <c r="G8" s="10">
        <f t="shared" si="0"/>
        <v>9.000000000000008E-2</v>
      </c>
      <c r="H8" s="10">
        <f t="shared" si="0"/>
        <v>8.0000000000000071E-2</v>
      </c>
      <c r="I8" s="10">
        <f t="shared" si="0"/>
        <v>7.0000000000000062E-2</v>
      </c>
    </row>
    <row r="9" spans="1:11" x14ac:dyDescent="0.15">
      <c r="A9" s="7" t="s">
        <v>118</v>
      </c>
      <c r="B9" s="41">
        <v>31510</v>
      </c>
      <c r="C9" s="41">
        <v>36147</v>
      </c>
      <c r="D9" s="41">
        <v>40367</v>
      </c>
      <c r="E9" s="42">
        <f>D9*(1+CHOOSE(MATCH(Assumptions!$B$2,{"Base","Bull","Bear"},0),Assumptions!F$28,Assumptions!F$36,Assumptions!F$44))</f>
        <v>46018.380000000005</v>
      </c>
      <c r="F9" s="42">
        <f>E9*(1+CHOOSE(MATCH(Assumptions!$B$2,{"Base","Bull","Bear"},0),Assumptions!G$28,Assumptions!G$36,Assumptions!G$44))</f>
        <v>51540.585600000013</v>
      </c>
      <c r="G9" s="42">
        <f>F9*(1+CHOOSE(MATCH(Assumptions!$B$2,{"Base","Bull","Bear"},0),Assumptions!H$28,Assumptions!H$36,Assumptions!H$44))</f>
        <v>56694.644160000018</v>
      </c>
      <c r="H9" s="42">
        <f>G9*(1+CHOOSE(MATCH(Assumptions!$B$2,{"Base","Bull","Bear"},0),Assumptions!I$28,Assumptions!I$36,Assumptions!I$44))</f>
        <v>61797.162134400023</v>
      </c>
      <c r="I9" s="42">
        <f>H9*(1+CHOOSE(MATCH(Assumptions!$B$2,{"Base","Bull","Bear"},0),Assumptions!J$28,Assumptions!J$36,Assumptions!J$44))</f>
        <v>66740.935105152035</v>
      </c>
      <c r="K9" s="20" t="s">
        <v>201</v>
      </c>
    </row>
    <row r="10" spans="1:11" x14ac:dyDescent="0.15">
      <c r="A10" s="12" t="s">
        <v>200</v>
      </c>
      <c r="C10" s="10">
        <f t="shared" ref="C10:I10" si="1">C9/B9-1</f>
        <v>0.14715963186290071</v>
      </c>
      <c r="D10" s="10">
        <f t="shared" si="1"/>
        <v>0.11674551138407052</v>
      </c>
      <c r="E10" s="10">
        <f t="shared" si="1"/>
        <v>0.14000000000000012</v>
      </c>
      <c r="F10" s="10">
        <f t="shared" si="1"/>
        <v>0.12000000000000011</v>
      </c>
      <c r="G10" s="10">
        <f t="shared" si="1"/>
        <v>0.10000000000000009</v>
      </c>
      <c r="H10" s="10">
        <f t="shared" si="1"/>
        <v>9.000000000000008E-2</v>
      </c>
      <c r="I10" s="10">
        <f t="shared" si="1"/>
        <v>8.0000000000000071E-2</v>
      </c>
    </row>
    <row r="11" spans="1:11" x14ac:dyDescent="0.15">
      <c r="A11" s="7" t="s">
        <v>120</v>
      </c>
      <c r="B11" s="41">
        <v>31312</v>
      </c>
      <c r="C11" s="41">
        <v>30359</v>
      </c>
      <c r="D11" s="41">
        <v>29792</v>
      </c>
      <c r="E11" s="42">
        <f>D11*(1+CHOOSE(MATCH(Assumptions!$B$2,{"Base","Bull","Bear"},0),Assumptions!F$29,Assumptions!F$37,Assumptions!F$45))</f>
        <v>29196.16</v>
      </c>
      <c r="F11" s="42">
        <f>E11*(1+CHOOSE(MATCH(Assumptions!$B$2,{"Base","Bull","Bear"},0),Assumptions!G$29,Assumptions!G$37,Assumptions!G$45))</f>
        <v>28612.236799999999</v>
      </c>
      <c r="G11" s="42">
        <f>F11*(1+CHOOSE(MATCH(Assumptions!$B$2,{"Base","Bull","Bear"},0),Assumptions!H$29,Assumptions!H$37,Assumptions!H$45))</f>
        <v>28326.114431999998</v>
      </c>
      <c r="H11" s="42">
        <f>G11*(1+CHOOSE(MATCH(Assumptions!$B$2,{"Base","Bull","Bear"},0),Assumptions!I$29,Assumptions!I$37,Assumptions!I$45))</f>
        <v>28042.853287679998</v>
      </c>
      <c r="I11" s="42">
        <f>H11*(1+CHOOSE(MATCH(Assumptions!$B$2,{"Base","Bull","Bear"},0),Assumptions!J$29,Assumptions!J$37,Assumptions!J$45))</f>
        <v>28042.853287679998</v>
      </c>
      <c r="K11" s="20" t="s">
        <v>202</v>
      </c>
    </row>
    <row r="12" spans="1:11" x14ac:dyDescent="0.15">
      <c r="A12" s="12" t="s">
        <v>200</v>
      </c>
      <c r="C12" s="10">
        <f t="shared" ref="C12:I12" si="2">C11/B11-1</f>
        <v>-3.0435615738375055E-2</v>
      </c>
      <c r="D12" s="10">
        <f t="shared" si="2"/>
        <v>-1.8676504496195512E-2</v>
      </c>
      <c r="E12" s="10">
        <f t="shared" si="2"/>
        <v>-2.0000000000000018E-2</v>
      </c>
      <c r="F12" s="10">
        <f t="shared" si="2"/>
        <v>-2.0000000000000018E-2</v>
      </c>
      <c r="G12" s="10">
        <f t="shared" si="2"/>
        <v>-1.0000000000000009E-2</v>
      </c>
      <c r="H12" s="10">
        <f t="shared" si="2"/>
        <v>-1.0000000000000009E-2</v>
      </c>
      <c r="I12" s="10">
        <f t="shared" si="2"/>
        <v>0</v>
      </c>
    </row>
    <row r="13" spans="1:11" x14ac:dyDescent="0.15">
      <c r="A13" s="43" t="s">
        <v>203</v>
      </c>
      <c r="B13" s="44">
        <f t="shared" ref="B13:I13" si="3">B7+B9+B11</f>
        <v>237855</v>
      </c>
      <c r="C13" s="44">
        <f t="shared" si="3"/>
        <v>264590</v>
      </c>
      <c r="D13" s="44">
        <f t="shared" si="3"/>
        <v>294691</v>
      </c>
      <c r="E13" s="44">
        <f t="shared" si="3"/>
        <v>326690.38</v>
      </c>
      <c r="F13" s="44">
        <f t="shared" si="3"/>
        <v>356776.24640000006</v>
      </c>
      <c r="G13" s="44">
        <f t="shared" si="3"/>
        <v>386540.29075200006</v>
      </c>
      <c r="H13" s="44">
        <f t="shared" si="3"/>
        <v>415481.11015488015</v>
      </c>
      <c r="I13" s="44">
        <f t="shared" si="3"/>
        <v>443219.75975692814</v>
      </c>
      <c r="K13" s="20" t="s">
        <v>204</v>
      </c>
    </row>
    <row r="15" spans="1:11" x14ac:dyDescent="0.15">
      <c r="A15" s="63" t="s">
        <v>205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</row>
    <row r="16" spans="1:11" x14ac:dyDescent="0.15">
      <c r="A16" s="7" t="s">
        <v>122</v>
      </c>
      <c r="B16" s="41">
        <v>34688</v>
      </c>
      <c r="C16" s="41">
        <v>40340</v>
      </c>
      <c r="D16" s="41">
        <v>48030</v>
      </c>
      <c r="E16" s="42">
        <f>D16*(1+CHOOSE(MATCH(Assumptions!$B$2,{"Base","Bull","Bear"},0),Assumptions!F$30,Assumptions!F$38,Assumptions!F$46))</f>
        <v>56675.399999999994</v>
      </c>
      <c r="F16" s="42">
        <f>E16*(1+CHOOSE(MATCH(Assumptions!$B$2,{"Base","Bull","Bear"},0),Assumptions!G$30,Assumptions!G$38,Assumptions!G$46))</f>
        <v>65176.709999999992</v>
      </c>
      <c r="G16" s="42">
        <f>F16*(1+CHOOSE(MATCH(Assumptions!$B$2,{"Base","Bull","Bear"},0),Assumptions!H$30,Assumptions!H$38,Assumptions!H$46))</f>
        <v>73649.682299999986</v>
      </c>
      <c r="H16" s="42">
        <f>G16*(1+CHOOSE(MATCH(Assumptions!$B$2,{"Base","Bull","Bear"},0),Assumptions!I$30,Assumptions!I$38,Assumptions!I$46))</f>
        <v>81751.147352999993</v>
      </c>
      <c r="I16" s="42">
        <f>H16*(1+CHOOSE(MATCH(Assumptions!$B$2,{"Base","Bull","Bear"},0),Assumptions!J$30,Assumptions!J$38,Assumptions!J$46))</f>
        <v>89108.750614770004</v>
      </c>
      <c r="K16" s="20" t="s">
        <v>206</v>
      </c>
    </row>
    <row r="17" spans="1:11" x14ac:dyDescent="0.15">
      <c r="A17" s="12" t="s">
        <v>200</v>
      </c>
      <c r="C17" s="10">
        <f t="shared" ref="C17:I17" si="4">C16/B16-1</f>
        <v>0.16293819188191883</v>
      </c>
      <c r="D17" s="10">
        <f t="shared" si="4"/>
        <v>0.1906296479920675</v>
      </c>
      <c r="E17" s="10">
        <f t="shared" si="4"/>
        <v>0.17999999999999994</v>
      </c>
      <c r="F17" s="10">
        <f t="shared" si="4"/>
        <v>0.14999999999999991</v>
      </c>
      <c r="G17" s="10">
        <f t="shared" si="4"/>
        <v>0.12999999999999989</v>
      </c>
      <c r="H17" s="10">
        <f t="shared" si="4"/>
        <v>0.1100000000000001</v>
      </c>
      <c r="I17" s="10">
        <f t="shared" si="4"/>
        <v>9.000000000000008E-2</v>
      </c>
    </row>
    <row r="19" spans="1:11" x14ac:dyDescent="0.15">
      <c r="A19" s="45" t="s">
        <v>207</v>
      </c>
      <c r="B19" s="46">
        <f t="shared" ref="B19:I19" si="5">B13+B16</f>
        <v>272543</v>
      </c>
      <c r="C19" s="46">
        <f t="shared" si="5"/>
        <v>304930</v>
      </c>
      <c r="D19" s="46">
        <f t="shared" si="5"/>
        <v>342721</v>
      </c>
      <c r="E19" s="46">
        <f t="shared" si="5"/>
        <v>383365.78</v>
      </c>
      <c r="F19" s="46">
        <f t="shared" si="5"/>
        <v>421952.95640000002</v>
      </c>
      <c r="G19" s="46">
        <f t="shared" si="5"/>
        <v>460189.97305200004</v>
      </c>
      <c r="H19" s="46">
        <f t="shared" si="5"/>
        <v>497232.25750788016</v>
      </c>
      <c r="I19" s="46">
        <f t="shared" si="5"/>
        <v>532328.51037169818</v>
      </c>
      <c r="K19" s="20" t="s">
        <v>208</v>
      </c>
    </row>
    <row r="21" spans="1:11" x14ac:dyDescent="0.15">
      <c r="A21" s="63" t="s">
        <v>209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11" x14ac:dyDescent="0.15">
      <c r="A22" s="7" t="s">
        <v>49</v>
      </c>
      <c r="B22" s="41">
        <v>33088</v>
      </c>
      <c r="C22" s="41">
        <v>43229</v>
      </c>
      <c r="D22" s="41">
        <v>58705</v>
      </c>
      <c r="E22" s="42">
        <f>D22*(1+CHOOSE(MATCH(Assumptions!$B$2,{"Base","Bull","Bear"},0),Assumptions!F$31,Assumptions!F$39,Assumptions!F$47))</f>
        <v>76316.5</v>
      </c>
      <c r="F22" s="42">
        <f>E22*(1+CHOOSE(MATCH(Assumptions!$B$2,{"Base","Bull","Bear"},0),Assumptions!G$31,Assumptions!G$39,Assumptions!G$47))</f>
        <v>95395.625</v>
      </c>
      <c r="G22" s="42">
        <f>F22*(1+CHOOSE(MATCH(Assumptions!$B$2,{"Base","Bull","Bear"},0),Assumptions!H$31,Assumptions!H$39,Assumptions!H$47))</f>
        <v>116382.66249999999</v>
      </c>
      <c r="H22" s="42">
        <f>G22*(1+CHOOSE(MATCH(Assumptions!$B$2,{"Base","Bull","Bear"},0),Assumptions!I$31,Assumptions!I$39,Assumptions!I$47))</f>
        <v>137331.54174999997</v>
      </c>
      <c r="I22" s="42">
        <f>H22*(1+CHOOSE(MATCH(Assumptions!$B$2,{"Base","Bull","Bear"},0),Assumptions!J$31,Assumptions!J$39,Assumptions!J$47))</f>
        <v>157931.27301249997</v>
      </c>
      <c r="K22" s="20" t="s">
        <v>210</v>
      </c>
    </row>
    <row r="23" spans="1:11" x14ac:dyDescent="0.15">
      <c r="A23" s="12" t="s">
        <v>200</v>
      </c>
      <c r="C23" s="10">
        <f t="shared" ref="C23:I23" si="6">C22/B22-1</f>
        <v>0.30648573500967125</v>
      </c>
      <c r="D23" s="10">
        <f t="shared" si="6"/>
        <v>0.35800041638714752</v>
      </c>
      <c r="E23" s="10">
        <f t="shared" si="6"/>
        <v>0.30000000000000004</v>
      </c>
      <c r="F23" s="10">
        <f t="shared" si="6"/>
        <v>0.25</v>
      </c>
      <c r="G23" s="10">
        <f t="shared" si="6"/>
        <v>0.21999999999999997</v>
      </c>
      <c r="H23" s="10">
        <f t="shared" si="6"/>
        <v>0.17999999999999994</v>
      </c>
      <c r="I23" s="10">
        <f t="shared" si="6"/>
        <v>0.14999999999999991</v>
      </c>
    </row>
    <row r="25" spans="1:11" x14ac:dyDescent="0.15">
      <c r="A25" s="63" t="s">
        <v>211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1" x14ac:dyDescent="0.15">
      <c r="A26" s="7" t="s">
        <v>50</v>
      </c>
      <c r="B26" s="41">
        <v>1527</v>
      </c>
      <c r="C26" s="41">
        <v>1648</v>
      </c>
      <c r="D26" s="41">
        <v>1537</v>
      </c>
      <c r="E26" s="42">
        <f>D26*(1+CHOOSE(MATCH(Assumptions!$B$2,{"Base","Bull","Bear"},0),Assumptions!F$32,Assumptions!F$40,Assumptions!F$48))</f>
        <v>1690.7</v>
      </c>
      <c r="F26" s="42">
        <f>E26*(1+CHOOSE(MATCH(Assumptions!$B$2,{"Base","Bull","Bear"},0),Assumptions!G$32,Assumptions!G$40,Assumptions!G$48))</f>
        <v>1944.3049999999998</v>
      </c>
      <c r="G26" s="42">
        <f>F26*(1+CHOOSE(MATCH(Assumptions!$B$2,{"Base","Bull","Bear"},0),Assumptions!H$32,Assumptions!H$40,Assumptions!H$48))</f>
        <v>2235.9507499999995</v>
      </c>
      <c r="H26" s="42">
        <f>G26*(1+CHOOSE(MATCH(Assumptions!$B$2,{"Base","Bull","Bear"},0),Assumptions!I$32,Assumptions!I$40,Assumptions!I$48))</f>
        <v>2571.3433624999993</v>
      </c>
      <c r="I26" s="42">
        <f>H26*(1+CHOOSE(MATCH(Assumptions!$B$2,{"Base","Bull","Bear"},0),Assumptions!J$32,Assumptions!J$40,Assumptions!J$48))</f>
        <v>2828.4776987499995</v>
      </c>
      <c r="K26" s="20" t="s">
        <v>212</v>
      </c>
    </row>
    <row r="27" spans="1:11" x14ac:dyDescent="0.15">
      <c r="A27" s="12" t="s">
        <v>200</v>
      </c>
      <c r="C27" s="10">
        <f t="shared" ref="C27:I27" si="7">C26/B26-1</f>
        <v>7.9240340537000575E-2</v>
      </c>
      <c r="D27" s="10">
        <f t="shared" si="7"/>
        <v>-6.7354368932038833E-2</v>
      </c>
      <c r="E27" s="10">
        <f t="shared" si="7"/>
        <v>0.10000000000000009</v>
      </c>
      <c r="F27" s="10">
        <f t="shared" si="7"/>
        <v>0.14999999999999991</v>
      </c>
      <c r="G27" s="10">
        <f t="shared" si="7"/>
        <v>0.14999999999999991</v>
      </c>
      <c r="H27" s="10">
        <f t="shared" si="7"/>
        <v>0.14999999999999991</v>
      </c>
      <c r="I27" s="10">
        <f t="shared" si="7"/>
        <v>0.10000000000000009</v>
      </c>
    </row>
    <row r="29" spans="1:11" x14ac:dyDescent="0.15">
      <c r="A29" s="47" t="s">
        <v>213</v>
      </c>
      <c r="B29" s="41">
        <v>236</v>
      </c>
      <c r="C29" s="41">
        <v>211</v>
      </c>
      <c r="D29" s="41">
        <v>-127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K29" s="20" t="s">
        <v>214</v>
      </c>
    </row>
    <row r="31" spans="1:11" x14ac:dyDescent="0.15">
      <c r="A31" s="45" t="s">
        <v>215</v>
      </c>
      <c r="B31" s="46">
        <f t="shared" ref="B31:I31" si="8">B19+B22+B26+B29</f>
        <v>307394</v>
      </c>
      <c r="C31" s="46">
        <f t="shared" si="8"/>
        <v>350018</v>
      </c>
      <c r="D31" s="46">
        <f t="shared" si="8"/>
        <v>402836</v>
      </c>
      <c r="E31" s="46">
        <f t="shared" si="8"/>
        <v>461372.98000000004</v>
      </c>
      <c r="F31" s="46">
        <f t="shared" si="8"/>
        <v>519292.88640000002</v>
      </c>
      <c r="G31" s="46">
        <f t="shared" si="8"/>
        <v>578808.58630199998</v>
      </c>
      <c r="H31" s="46">
        <f t="shared" si="8"/>
        <v>637135.14262038004</v>
      </c>
      <c r="I31" s="46">
        <f t="shared" si="8"/>
        <v>693088.26108294807</v>
      </c>
      <c r="K31" s="20" t="s">
        <v>216</v>
      </c>
    </row>
    <row r="32" spans="1:11" x14ac:dyDescent="0.15">
      <c r="A32" s="12" t="s">
        <v>200</v>
      </c>
      <c r="C32" s="10">
        <f t="shared" ref="C32:I32" si="9">C31/B31-1</f>
        <v>0.13866243322901561</v>
      </c>
      <c r="D32" s="10">
        <f t="shared" si="9"/>
        <v>0.15090081081544371</v>
      </c>
      <c r="E32" s="10">
        <f t="shared" si="9"/>
        <v>0.14531218659702727</v>
      </c>
      <c r="F32" s="10">
        <f t="shared" si="9"/>
        <v>0.12553814139701025</v>
      </c>
      <c r="G32" s="10">
        <f t="shared" si="9"/>
        <v>0.11460911840058663</v>
      </c>
      <c r="H32" s="10">
        <f t="shared" si="9"/>
        <v>0.10077002604786434</v>
      </c>
      <c r="I32" s="10">
        <f t="shared" si="9"/>
        <v>8.7819859115676246E-2</v>
      </c>
    </row>
    <row r="34" spans="1:11" x14ac:dyDescent="0.15">
      <c r="A34" s="63" t="s">
        <v>217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1" x14ac:dyDescent="0.15">
      <c r="A35" s="12" t="s">
        <v>218</v>
      </c>
      <c r="B35" s="10">
        <f t="shared" ref="B35:I35" si="10">B7/B31</f>
        <v>0.56940929230889348</v>
      </c>
      <c r="C35" s="10">
        <f t="shared" si="10"/>
        <v>0.56592518099069189</v>
      </c>
      <c r="D35" s="10">
        <f t="shared" si="10"/>
        <v>0.55737818864252453</v>
      </c>
      <c r="E35" s="10">
        <f t="shared" si="10"/>
        <v>0.54505974753874842</v>
      </c>
      <c r="F35" s="10">
        <f t="shared" si="10"/>
        <v>0.53269249636306981</v>
      </c>
      <c r="G35" s="10">
        <f t="shared" si="10"/>
        <v>0.52093133947166226</v>
      </c>
      <c r="H35" s="10">
        <f t="shared" si="10"/>
        <v>0.51110207701543253</v>
      </c>
      <c r="I35" s="10">
        <f t="shared" si="10"/>
        <v>0.50272958139511126</v>
      </c>
    </row>
    <row r="36" spans="1:11" x14ac:dyDescent="0.15">
      <c r="A36" s="12" t="s">
        <v>219</v>
      </c>
      <c r="B36" s="10">
        <f t="shared" ref="B36:I36" si="11">B9/B31</f>
        <v>0.10250688042056774</v>
      </c>
      <c r="C36" s="10">
        <f t="shared" si="11"/>
        <v>0.10327183173436795</v>
      </c>
      <c r="D36" s="10">
        <f t="shared" si="11"/>
        <v>0.10020703214211242</v>
      </c>
      <c r="E36" s="10">
        <f t="shared" si="11"/>
        <v>9.9742251919477387E-2</v>
      </c>
      <c r="F36" s="10">
        <f t="shared" si="11"/>
        <v>9.9251476285965187E-2</v>
      </c>
      <c r="G36" s="10">
        <f t="shared" si="11"/>
        <v>9.7950592824168889E-2</v>
      </c>
      <c r="H36" s="10">
        <f t="shared" si="11"/>
        <v>9.6992236027420339E-2</v>
      </c>
      <c r="I36" s="10">
        <f t="shared" si="11"/>
        <v>9.6295001448833586E-2</v>
      </c>
    </row>
    <row r="37" spans="1:11" x14ac:dyDescent="0.15">
      <c r="A37" s="12" t="s">
        <v>220</v>
      </c>
      <c r="B37" s="10">
        <f t="shared" ref="B37:I37" si="12">B11/B31</f>
        <v>0.10186275594188565</v>
      </c>
      <c r="C37" s="10">
        <f t="shared" si="12"/>
        <v>8.673553931512093E-2</v>
      </c>
      <c r="D37" s="10">
        <f t="shared" si="12"/>
        <v>7.3955654410231456E-2</v>
      </c>
      <c r="E37" s="10">
        <f t="shared" si="12"/>
        <v>6.3281035660129034E-2</v>
      </c>
      <c r="F37" s="10">
        <f t="shared" si="12"/>
        <v>5.5098457054465817E-2</v>
      </c>
      <c r="G37" s="10">
        <f t="shared" si="12"/>
        <v>4.8938656236900614E-2</v>
      </c>
      <c r="H37" s="10">
        <f t="shared" si="12"/>
        <v>4.4013979785115356E-2</v>
      </c>
      <c r="I37" s="10">
        <f t="shared" si="12"/>
        <v>4.0460724646905914E-2</v>
      </c>
    </row>
    <row r="38" spans="1:11" x14ac:dyDescent="0.15">
      <c r="A38" s="12" t="s">
        <v>221</v>
      </c>
      <c r="B38" s="10">
        <f t="shared" ref="B38:I38" si="13">B16/B31</f>
        <v>0.11284540361880843</v>
      </c>
      <c r="C38" s="10">
        <f t="shared" si="13"/>
        <v>0.11525121565176648</v>
      </c>
      <c r="D38" s="10">
        <f t="shared" si="13"/>
        <v>0.11922966169855723</v>
      </c>
      <c r="E38" s="10">
        <f t="shared" si="13"/>
        <v>0.12284074372972598</v>
      </c>
      <c r="F38" s="10">
        <f t="shared" si="13"/>
        <v>0.12551050034949987</v>
      </c>
      <c r="G38" s="10">
        <f t="shared" si="13"/>
        <v>0.12724358975140085</v>
      </c>
      <c r="H38" s="10">
        <f t="shared" si="13"/>
        <v>0.12831052924937972</v>
      </c>
      <c r="I38" s="10">
        <f t="shared" si="13"/>
        <v>0.12856768122942652</v>
      </c>
    </row>
    <row r="39" spans="1:11" x14ac:dyDescent="0.15">
      <c r="A39" s="12" t="s">
        <v>222</v>
      </c>
      <c r="B39" s="10">
        <f t="shared" ref="B39:I39" si="14">B22/B31</f>
        <v>0.10764035732642797</v>
      </c>
      <c r="C39" s="10">
        <f t="shared" si="14"/>
        <v>0.12350507688176036</v>
      </c>
      <c r="D39" s="10">
        <f t="shared" si="14"/>
        <v>0.14572927940899025</v>
      </c>
      <c r="E39" s="10">
        <f t="shared" si="14"/>
        <v>0.16541172393753964</v>
      </c>
      <c r="F39" s="10">
        <f t="shared" si="14"/>
        <v>0.18370293046248051</v>
      </c>
      <c r="G39" s="10">
        <f t="shared" si="14"/>
        <v>0.20107279894302743</v>
      </c>
      <c r="H39" s="10">
        <f t="shared" si="14"/>
        <v>0.21554538835385714</v>
      </c>
      <c r="I39" s="10">
        <f t="shared" si="14"/>
        <v>0.22786603363579247</v>
      </c>
    </row>
    <row r="40" spans="1:11" x14ac:dyDescent="0.15">
      <c r="A40" s="12" t="s">
        <v>223</v>
      </c>
      <c r="B40" s="10">
        <f t="shared" ref="B40:I40" si="15">B26/B31</f>
        <v>4.9675660552906042E-3</v>
      </c>
      <c r="C40" s="10">
        <f t="shared" si="15"/>
        <v>4.7083292859224383E-3</v>
      </c>
      <c r="D40" s="10">
        <f t="shared" si="15"/>
        <v>3.8154484703452523E-3</v>
      </c>
      <c r="E40" s="10">
        <f t="shared" si="15"/>
        <v>3.6644972143795676E-3</v>
      </c>
      <c r="F40" s="10">
        <f t="shared" si="15"/>
        <v>3.7441394845188461E-3</v>
      </c>
      <c r="G40" s="10">
        <f t="shared" si="15"/>
        <v>3.8630227728400812E-3</v>
      </c>
      <c r="H40" s="10">
        <f t="shared" si="15"/>
        <v>4.0357895687949293E-3</v>
      </c>
      <c r="I40" s="10">
        <f t="shared" si="15"/>
        <v>4.0809776439302446E-3</v>
      </c>
    </row>
    <row r="43" spans="1:11" x14ac:dyDescent="0.15">
      <c r="A43" s="15" t="s">
        <v>67</v>
      </c>
    </row>
    <row r="44" spans="1:11" x14ac:dyDescent="0.15">
      <c r="A44" s="14" t="s">
        <v>68</v>
      </c>
    </row>
    <row r="45" spans="1:11" x14ac:dyDescent="0.15">
      <c r="A45" s="14" t="s">
        <v>69</v>
      </c>
    </row>
    <row r="46" spans="1:11" x14ac:dyDescent="0.15">
      <c r="A46" s="14" t="s">
        <v>70</v>
      </c>
    </row>
    <row r="47" spans="1:11" x14ac:dyDescent="0.15">
      <c r="A47" s="14" t="s">
        <v>71</v>
      </c>
    </row>
    <row r="48" spans="1:11" x14ac:dyDescent="0.15">
      <c r="A48" s="14" t="s">
        <v>72</v>
      </c>
    </row>
    <row r="50" spans="1:1" x14ac:dyDescent="0.15">
      <c r="A50" s="15" t="s">
        <v>73</v>
      </c>
    </row>
    <row r="51" spans="1:1" x14ac:dyDescent="0.15">
      <c r="A51" s="14" t="s">
        <v>74</v>
      </c>
    </row>
    <row r="52" spans="1:1" x14ac:dyDescent="0.15">
      <c r="A52" s="14" t="s">
        <v>75</v>
      </c>
    </row>
    <row r="53" spans="1:1" x14ac:dyDescent="0.15">
      <c r="A53" s="14" t="s">
        <v>76</v>
      </c>
    </row>
    <row r="54" spans="1:1" x14ac:dyDescent="0.15">
      <c r="A54" s="14" t="s">
        <v>77</v>
      </c>
    </row>
  </sheetData>
  <mergeCells count="5">
    <mergeCell ref="A6:K6"/>
    <mergeCell ref="A34:K34"/>
    <mergeCell ref="A21:K21"/>
    <mergeCell ref="A15:K15"/>
    <mergeCell ref="A25:K25"/>
  </mergeCells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"/>
  <sheetViews>
    <sheetView workbookViewId="0">
      <pane xSplit="1" ySplit="3" topLeftCell="B13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4" customWidth="1"/>
    <col min="2" max="10" width="15" customWidth="1"/>
    <col min="11" max="11" width="38" customWidth="1"/>
  </cols>
  <sheetData>
    <row r="1" spans="1:11" ht="18.75" x14ac:dyDescent="0.25">
      <c r="A1" s="4" t="s">
        <v>224</v>
      </c>
    </row>
    <row r="2" spans="1:11" x14ac:dyDescent="0.15">
      <c r="A2" s="5" t="s">
        <v>225</v>
      </c>
    </row>
    <row r="3" spans="1:11" x14ac:dyDescent="0.15">
      <c r="A3" s="40"/>
      <c r="B3" s="6">
        <v>2023</v>
      </c>
      <c r="C3" s="6">
        <v>2024</v>
      </c>
      <c r="D3" s="6">
        <v>2025</v>
      </c>
      <c r="E3" s="6" t="s">
        <v>31</v>
      </c>
      <c r="F3" s="6" t="s">
        <v>32</v>
      </c>
      <c r="G3" s="6" t="s">
        <v>33</v>
      </c>
      <c r="H3" s="6" t="s">
        <v>114</v>
      </c>
      <c r="I3" s="6" t="s">
        <v>115</v>
      </c>
      <c r="K3" s="6" t="s">
        <v>85</v>
      </c>
    </row>
    <row r="5" spans="1:11" x14ac:dyDescent="0.15">
      <c r="A5" s="63" t="s">
        <v>226</v>
      </c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x14ac:dyDescent="0.15">
      <c r="A6" s="7" t="s">
        <v>227</v>
      </c>
      <c r="B6" s="8">
        <f>Segment_Revenue!B19</f>
        <v>272543</v>
      </c>
      <c r="C6" s="8">
        <f>Segment_Revenue!C19</f>
        <v>304930</v>
      </c>
      <c r="D6" s="8">
        <f>Segment_Revenue!D19</f>
        <v>342721</v>
      </c>
      <c r="E6" s="8">
        <f>Segment_Revenue!E19</f>
        <v>383365.78</v>
      </c>
      <c r="F6" s="8">
        <f>Segment_Revenue!F19</f>
        <v>421952.95640000002</v>
      </c>
      <c r="G6" s="8">
        <f>Segment_Revenue!G19</f>
        <v>460189.97305200004</v>
      </c>
      <c r="H6" s="8">
        <f>Segment_Revenue!H19</f>
        <v>497232.25750788016</v>
      </c>
      <c r="I6" s="8">
        <f>Segment_Revenue!I19</f>
        <v>532328.51037169818</v>
      </c>
      <c r="K6" s="20" t="s">
        <v>228</v>
      </c>
    </row>
    <row r="7" spans="1:11" x14ac:dyDescent="0.15">
      <c r="A7" s="47" t="s">
        <v>229</v>
      </c>
      <c r="B7" s="41">
        <v>46224</v>
      </c>
      <c r="C7" s="41">
        <v>44560</v>
      </c>
      <c r="D7" s="41">
        <v>45124</v>
      </c>
      <c r="E7" s="42">
        <f>E6*Assumptions!$I$52</f>
        <v>49070.819840000004</v>
      </c>
      <c r="F7" s="42">
        <f>F6*Assumptions!$I$52</f>
        <v>54009.978419200001</v>
      </c>
      <c r="G7" s="42">
        <f>G6*Assumptions!$I$52</f>
        <v>58904.316550656004</v>
      </c>
      <c r="H7" s="42">
        <f>H6*Assumptions!$I$52</f>
        <v>63645.728961008659</v>
      </c>
      <c r="I7" s="42">
        <f>I6*Assumptions!$I$52</f>
        <v>68138.049327577362</v>
      </c>
      <c r="K7" s="20" t="s">
        <v>230</v>
      </c>
    </row>
    <row r="8" spans="1:11" x14ac:dyDescent="0.15">
      <c r="A8" s="47" t="s">
        <v>231</v>
      </c>
      <c r="B8" s="41">
        <v>130461</v>
      </c>
      <c r="C8" s="41">
        <v>139107</v>
      </c>
      <c r="D8" s="41">
        <v>158193</v>
      </c>
      <c r="E8" s="42">
        <f>E6*Assumptions!$I$53</f>
        <v>174431.42990000002</v>
      </c>
      <c r="F8" s="42">
        <f>F6*Assumptions!$I$53</f>
        <v>191988.59516200001</v>
      </c>
      <c r="G8" s="42">
        <f>G6*Assumptions!$I$53</f>
        <v>209386.43773866002</v>
      </c>
      <c r="H8" s="42">
        <f>H6*Assumptions!$I$53</f>
        <v>226240.67716608549</v>
      </c>
      <c r="I8" s="42">
        <f>I6*Assumptions!$I$53</f>
        <v>242209.47221912269</v>
      </c>
      <c r="K8" s="20" t="s">
        <v>232</v>
      </c>
    </row>
    <row r="9" spans="1:11" x14ac:dyDescent="0.15">
      <c r="A9" s="7" t="s">
        <v>233</v>
      </c>
      <c r="B9" s="42">
        <f t="shared" ref="B9:I9" si="0">B7+B8</f>
        <v>176685</v>
      </c>
      <c r="C9" s="42">
        <f t="shared" si="0"/>
        <v>183667</v>
      </c>
      <c r="D9" s="42">
        <f t="shared" si="0"/>
        <v>203317</v>
      </c>
      <c r="E9" s="42">
        <f t="shared" si="0"/>
        <v>223502.24974000003</v>
      </c>
      <c r="F9" s="42">
        <f t="shared" si="0"/>
        <v>245998.57358120001</v>
      </c>
      <c r="G9" s="42">
        <f t="shared" si="0"/>
        <v>268290.75428931601</v>
      </c>
      <c r="H9" s="42">
        <f t="shared" si="0"/>
        <v>289886.40612709417</v>
      </c>
      <c r="I9" s="42">
        <f t="shared" si="0"/>
        <v>310347.52154670004</v>
      </c>
    </row>
    <row r="10" spans="1:11" x14ac:dyDescent="0.15">
      <c r="A10" s="45" t="s">
        <v>234</v>
      </c>
      <c r="B10" s="46">
        <f t="shared" ref="B10:I10" si="1">B6-B9</f>
        <v>95858</v>
      </c>
      <c r="C10" s="46">
        <f t="shared" si="1"/>
        <v>121263</v>
      </c>
      <c r="D10" s="46">
        <f t="shared" si="1"/>
        <v>139404</v>
      </c>
      <c r="E10" s="46">
        <f t="shared" si="1"/>
        <v>159863.53026</v>
      </c>
      <c r="F10" s="46">
        <f t="shared" si="1"/>
        <v>175954.38281880002</v>
      </c>
      <c r="G10" s="46">
        <f t="shared" si="1"/>
        <v>191899.21876268403</v>
      </c>
      <c r="H10" s="46">
        <f t="shared" si="1"/>
        <v>207345.85138078599</v>
      </c>
      <c r="I10" s="46">
        <f t="shared" si="1"/>
        <v>221980.98882499814</v>
      </c>
      <c r="K10" s="20" t="s">
        <v>235</v>
      </c>
    </row>
    <row r="11" spans="1:11" x14ac:dyDescent="0.15">
      <c r="A11" s="12" t="s">
        <v>236</v>
      </c>
      <c r="B11" s="10">
        <f t="shared" ref="B11:I11" si="2">B10/B6</f>
        <v>0.35171697677063801</v>
      </c>
      <c r="C11" s="10">
        <f t="shared" si="2"/>
        <v>0.39767487620109532</v>
      </c>
      <c r="D11" s="10">
        <f t="shared" si="2"/>
        <v>0.40675651623332099</v>
      </c>
      <c r="E11" s="10">
        <f t="shared" si="2"/>
        <v>0.41699999999999998</v>
      </c>
      <c r="F11" s="10">
        <f t="shared" si="2"/>
        <v>0.41700000000000004</v>
      </c>
      <c r="G11" s="10">
        <f t="shared" si="2"/>
        <v>0.41700000000000004</v>
      </c>
      <c r="H11" s="10">
        <f t="shared" si="2"/>
        <v>0.41699999999999993</v>
      </c>
      <c r="I11" s="10">
        <f t="shared" si="2"/>
        <v>0.41699999999999998</v>
      </c>
    </row>
    <row r="13" spans="1:11" x14ac:dyDescent="0.15">
      <c r="A13" s="63" t="s">
        <v>209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1:11" x14ac:dyDescent="0.15">
      <c r="A14" s="7" t="s">
        <v>227</v>
      </c>
      <c r="B14" s="8">
        <f>Segment_Revenue!B22</f>
        <v>33088</v>
      </c>
      <c r="C14" s="8">
        <f>Segment_Revenue!C22</f>
        <v>43229</v>
      </c>
      <c r="D14" s="8">
        <f>Segment_Revenue!D22</f>
        <v>58705</v>
      </c>
      <c r="E14" s="8">
        <f>Segment_Revenue!E22</f>
        <v>76316.5</v>
      </c>
      <c r="F14" s="8">
        <f>Segment_Revenue!F22</f>
        <v>95395.625</v>
      </c>
      <c r="G14" s="8">
        <f>Segment_Revenue!G22</f>
        <v>116382.66249999999</v>
      </c>
      <c r="H14" s="8">
        <f>Segment_Revenue!H22</f>
        <v>137331.54174999997</v>
      </c>
      <c r="I14" s="8">
        <f>Segment_Revenue!I22</f>
        <v>157931.27301249997</v>
      </c>
      <c r="K14" s="20" t="s">
        <v>228</v>
      </c>
    </row>
    <row r="15" spans="1:11" x14ac:dyDescent="0.15">
      <c r="A15" s="47" t="s">
        <v>229</v>
      </c>
      <c r="B15" s="41">
        <v>19054</v>
      </c>
      <c r="C15" s="41">
        <v>20519</v>
      </c>
      <c r="D15" s="41">
        <v>22078</v>
      </c>
      <c r="E15" s="42">
        <f>E14*Assumptions!$I$54</f>
        <v>25947.61</v>
      </c>
      <c r="F15" s="42">
        <f>F14*Assumptions!$I$54</f>
        <v>32434.512500000001</v>
      </c>
      <c r="G15" s="42">
        <f>G14*Assumptions!$I$54</f>
        <v>39570.105250000001</v>
      </c>
      <c r="H15" s="42">
        <f>H14*Assumptions!$I$54</f>
        <v>46692.724194999995</v>
      </c>
      <c r="I15" s="42">
        <f>I14*Assumptions!$I$54</f>
        <v>53696.632824249995</v>
      </c>
      <c r="K15" s="20" t="s">
        <v>237</v>
      </c>
    </row>
    <row r="16" spans="1:11" x14ac:dyDescent="0.15">
      <c r="A16" s="47" t="s">
        <v>231</v>
      </c>
      <c r="B16" s="41">
        <v>12318</v>
      </c>
      <c r="C16" s="41">
        <v>16598</v>
      </c>
      <c r="D16" s="41">
        <v>22717</v>
      </c>
      <c r="E16" s="42">
        <f>E14*Assumptions!$I$55</f>
        <v>29000.27</v>
      </c>
      <c r="F16" s="42">
        <f>F14*Assumptions!$I$55</f>
        <v>36250.337500000001</v>
      </c>
      <c r="G16" s="42">
        <f>G14*Assumptions!$I$55</f>
        <v>44225.411749999999</v>
      </c>
      <c r="H16" s="42">
        <f>H14*Assumptions!$I$55</f>
        <v>52185.985864999988</v>
      </c>
      <c r="I16" s="42">
        <f>I14*Assumptions!$I$55</f>
        <v>60013.88374474999</v>
      </c>
      <c r="K16" s="20" t="s">
        <v>238</v>
      </c>
    </row>
    <row r="17" spans="1:11" x14ac:dyDescent="0.15">
      <c r="A17" s="7" t="s">
        <v>233</v>
      </c>
      <c r="B17" s="42">
        <f t="shared" ref="B17:I17" si="3">B15+B16</f>
        <v>31372</v>
      </c>
      <c r="C17" s="42">
        <f t="shared" si="3"/>
        <v>37117</v>
      </c>
      <c r="D17" s="42">
        <f t="shared" si="3"/>
        <v>44795</v>
      </c>
      <c r="E17" s="42">
        <f t="shared" si="3"/>
        <v>54947.880000000005</v>
      </c>
      <c r="F17" s="42">
        <f t="shared" si="3"/>
        <v>68684.850000000006</v>
      </c>
      <c r="G17" s="42">
        <f t="shared" si="3"/>
        <v>83795.516999999993</v>
      </c>
      <c r="H17" s="42">
        <f t="shared" si="3"/>
        <v>98878.710059999983</v>
      </c>
      <c r="I17" s="42">
        <f t="shared" si="3"/>
        <v>113710.51656899998</v>
      </c>
    </row>
    <row r="18" spans="1:11" x14ac:dyDescent="0.15">
      <c r="A18" s="45" t="s">
        <v>234</v>
      </c>
      <c r="B18" s="46">
        <f t="shared" ref="B18:I18" si="4">B14-B17</f>
        <v>1716</v>
      </c>
      <c r="C18" s="46">
        <f t="shared" si="4"/>
        <v>6112</v>
      </c>
      <c r="D18" s="46">
        <f t="shared" si="4"/>
        <v>13910</v>
      </c>
      <c r="E18" s="46">
        <f t="shared" si="4"/>
        <v>21368.619999999995</v>
      </c>
      <c r="F18" s="46">
        <f t="shared" si="4"/>
        <v>26710.774999999994</v>
      </c>
      <c r="G18" s="46">
        <f t="shared" si="4"/>
        <v>32587.145499999999</v>
      </c>
      <c r="H18" s="46">
        <f t="shared" si="4"/>
        <v>38452.831689999992</v>
      </c>
      <c r="I18" s="46">
        <f t="shared" si="4"/>
        <v>44220.75644349998</v>
      </c>
      <c r="K18" s="20" t="s">
        <v>239</v>
      </c>
    </row>
    <row r="19" spans="1:11" x14ac:dyDescent="0.15">
      <c r="A19" s="12" t="s">
        <v>236</v>
      </c>
      <c r="B19" s="10">
        <f t="shared" ref="B19:I19" si="5">B18/B14</f>
        <v>5.1861702127659573E-2</v>
      </c>
      <c r="C19" s="10">
        <f t="shared" si="5"/>
        <v>0.14138656920123066</v>
      </c>
      <c r="D19" s="10">
        <f t="shared" si="5"/>
        <v>0.23694744910995658</v>
      </c>
      <c r="E19" s="10">
        <f t="shared" si="5"/>
        <v>0.27999999999999992</v>
      </c>
      <c r="F19" s="10">
        <f t="shared" si="5"/>
        <v>0.27999999999999992</v>
      </c>
      <c r="G19" s="10">
        <f t="shared" si="5"/>
        <v>0.28000000000000003</v>
      </c>
      <c r="H19" s="10">
        <f t="shared" si="5"/>
        <v>0.27999999999999997</v>
      </c>
      <c r="I19" s="10">
        <f t="shared" si="5"/>
        <v>0.27999999999999992</v>
      </c>
    </row>
    <row r="21" spans="1:11" x14ac:dyDescent="0.15">
      <c r="A21" s="63" t="s">
        <v>211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11" x14ac:dyDescent="0.15">
      <c r="A22" s="7" t="s">
        <v>227</v>
      </c>
      <c r="B22" s="8">
        <f>Segment_Revenue!B26</f>
        <v>1527</v>
      </c>
      <c r="C22" s="8">
        <f>Segment_Revenue!C26</f>
        <v>1648</v>
      </c>
      <c r="D22" s="8">
        <f>Segment_Revenue!D26</f>
        <v>1537</v>
      </c>
      <c r="E22" s="8">
        <f>Segment_Revenue!E26</f>
        <v>1690.7</v>
      </c>
      <c r="F22" s="8">
        <f>Segment_Revenue!F26</f>
        <v>1944.3049999999998</v>
      </c>
      <c r="G22" s="8">
        <f>Segment_Revenue!G26</f>
        <v>2235.9507499999995</v>
      </c>
      <c r="H22" s="8">
        <f>Segment_Revenue!H26</f>
        <v>2571.3433624999993</v>
      </c>
      <c r="I22" s="8">
        <f>Segment_Revenue!I26</f>
        <v>2828.4776987499995</v>
      </c>
    </row>
    <row r="23" spans="1:11" x14ac:dyDescent="0.15">
      <c r="A23" s="7" t="s">
        <v>240</v>
      </c>
      <c r="B23" s="41">
        <v>-4095</v>
      </c>
      <c r="C23" s="41">
        <v>-4444</v>
      </c>
      <c r="D23" s="41">
        <v>-7515</v>
      </c>
      <c r="E23" s="42">
        <f>E22*Assumptions!$I$56</f>
        <v>-5917.45</v>
      </c>
      <c r="F23" s="42">
        <f>F22*Assumptions!$I$56</f>
        <v>-6805.0674999999992</v>
      </c>
      <c r="G23" s="42">
        <f>G22*Assumptions!$I$56</f>
        <v>-7825.8276249999981</v>
      </c>
      <c r="H23" s="42">
        <f>H22*Assumptions!$I$56</f>
        <v>-8999.7017687499974</v>
      </c>
      <c r="I23" s="42">
        <f>I22*Assumptions!$I$56</f>
        <v>-9899.6719456249975</v>
      </c>
      <c r="K23" s="20" t="s">
        <v>241</v>
      </c>
    </row>
    <row r="24" spans="1:11" x14ac:dyDescent="0.15">
      <c r="A24" s="47" t="s">
        <v>242</v>
      </c>
      <c r="B24" s="42">
        <f t="shared" ref="B24:I24" si="6">B22-B23</f>
        <v>5622</v>
      </c>
      <c r="C24" s="42">
        <f t="shared" si="6"/>
        <v>6092</v>
      </c>
      <c r="D24" s="42">
        <f t="shared" si="6"/>
        <v>9052</v>
      </c>
      <c r="E24" s="42">
        <f t="shared" si="6"/>
        <v>7608.15</v>
      </c>
      <c r="F24" s="42">
        <f t="shared" si="6"/>
        <v>8749.3724999999995</v>
      </c>
      <c r="G24" s="42">
        <f t="shared" si="6"/>
        <v>10061.778374999998</v>
      </c>
      <c r="H24" s="42">
        <f t="shared" si="6"/>
        <v>11571.045131249997</v>
      </c>
      <c r="I24" s="42">
        <f t="shared" si="6"/>
        <v>12728.149644374997</v>
      </c>
    </row>
    <row r="25" spans="1:11" x14ac:dyDescent="0.15">
      <c r="A25" s="12" t="s">
        <v>243</v>
      </c>
      <c r="B25" s="10">
        <f t="shared" ref="B25:I25" si="7">B23/B22</f>
        <v>-2.6817288801571708</v>
      </c>
      <c r="C25" s="10">
        <f t="shared" si="7"/>
        <v>-2.6966019417475726</v>
      </c>
      <c r="D25" s="10">
        <f t="shared" si="7"/>
        <v>-4.8893949251789204</v>
      </c>
      <c r="E25" s="10">
        <f t="shared" si="7"/>
        <v>-3.5</v>
      </c>
      <c r="F25" s="10">
        <f t="shared" si="7"/>
        <v>-3.5</v>
      </c>
      <c r="G25" s="10">
        <f t="shared" si="7"/>
        <v>-3.5</v>
      </c>
      <c r="H25" s="10">
        <f t="shared" si="7"/>
        <v>-3.5</v>
      </c>
      <c r="I25" s="10">
        <f t="shared" si="7"/>
        <v>-3.4999999999999996</v>
      </c>
    </row>
    <row r="27" spans="1:11" x14ac:dyDescent="0.15">
      <c r="A27" s="63" t="s">
        <v>244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1:11" x14ac:dyDescent="0.15">
      <c r="A28" s="7" t="s">
        <v>245</v>
      </c>
      <c r="B28" s="41">
        <v>-9186</v>
      </c>
      <c r="C28" s="41">
        <v>-10541</v>
      </c>
      <c r="D28" s="41">
        <v>-16760</v>
      </c>
      <c r="E28" s="42">
        <f>-Assumptions!$I$57</f>
        <v>-18000</v>
      </c>
      <c r="F28" s="42">
        <f>-Assumptions!$I$57</f>
        <v>-18000</v>
      </c>
      <c r="G28" s="42">
        <f>-Assumptions!$I$57</f>
        <v>-18000</v>
      </c>
      <c r="H28" s="42">
        <f>-Assumptions!$I$57</f>
        <v>-18000</v>
      </c>
      <c r="I28" s="42">
        <f>-Assumptions!$I$57</f>
        <v>-18000</v>
      </c>
      <c r="K28" s="20" t="s">
        <v>246</v>
      </c>
    </row>
    <row r="29" spans="1:11" x14ac:dyDescent="0.15">
      <c r="A29" s="12" t="s">
        <v>247</v>
      </c>
      <c r="B29" s="10">
        <f>B28/Segment_Revenue!B31</f>
        <v>-2.9883472026129333E-2</v>
      </c>
      <c r="C29" s="10">
        <f>C28/Segment_Revenue!C31</f>
        <v>-3.0115594055162877E-2</v>
      </c>
      <c r="D29" s="10">
        <f>D28/Segment_Revenue!D31</f>
        <v>-4.1605020405326237E-2</v>
      </c>
      <c r="E29" s="10">
        <f>E28/Segment_Revenue!E31</f>
        <v>-3.9013988205377777E-2</v>
      </c>
      <c r="F29" s="10">
        <f>F28/Segment_Revenue!F31</f>
        <v>-3.4662519883114654E-2</v>
      </c>
      <c r="G29" s="10">
        <f>G28/Segment_Revenue!G31</f>
        <v>-3.1098363821797721E-2</v>
      </c>
      <c r="H29" s="10">
        <f>H28/Segment_Revenue!H31</f>
        <v>-2.8251463144805401E-2</v>
      </c>
      <c r="I29" s="10">
        <f>I28/Segment_Revenue!I31</f>
        <v>-2.5970718320744691E-2</v>
      </c>
    </row>
    <row r="31" spans="1:11" x14ac:dyDescent="0.15">
      <c r="A31" s="63" t="s">
        <v>248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1" x14ac:dyDescent="0.15">
      <c r="A32" s="7" t="s">
        <v>249</v>
      </c>
      <c r="B32" s="42">
        <f t="shared" ref="B32:I32" si="8">B10+B18+B23+B28</f>
        <v>84293</v>
      </c>
      <c r="C32" s="42">
        <f t="shared" si="8"/>
        <v>112390</v>
      </c>
      <c r="D32" s="42">
        <f t="shared" si="8"/>
        <v>129039</v>
      </c>
      <c r="E32" s="42">
        <f t="shared" si="8"/>
        <v>157314.70025999998</v>
      </c>
      <c r="F32" s="42">
        <f t="shared" si="8"/>
        <v>177860.09031880001</v>
      </c>
      <c r="G32" s="42">
        <f t="shared" si="8"/>
        <v>198660.53663768401</v>
      </c>
      <c r="H32" s="42">
        <f t="shared" si="8"/>
        <v>218798.98130203597</v>
      </c>
      <c r="I32" s="42">
        <f t="shared" si="8"/>
        <v>238302.07332287316</v>
      </c>
      <c r="K32" s="20" t="s">
        <v>250</v>
      </c>
    </row>
    <row r="33" spans="1:11" x14ac:dyDescent="0.15">
      <c r="A33" s="7" t="s">
        <v>251</v>
      </c>
      <c r="B33" s="8">
        <f>Consolidated_PL!B26</f>
        <v>84293</v>
      </c>
      <c r="C33" s="8">
        <f>Consolidated_PL!C26</f>
        <v>112390</v>
      </c>
      <c r="D33" s="8">
        <f>Consolidated_PL!D26</f>
        <v>129039</v>
      </c>
      <c r="E33" s="8">
        <f>Consolidated_PL!E26</f>
        <v>157314.70025999998</v>
      </c>
      <c r="F33" s="8">
        <f>Consolidated_PL!F26</f>
        <v>177860.09031880001</v>
      </c>
      <c r="G33" s="8">
        <f>Consolidated_PL!G26</f>
        <v>198660.53663768401</v>
      </c>
      <c r="H33" s="8">
        <f>Consolidated_PL!H26</f>
        <v>218798.98130203597</v>
      </c>
      <c r="I33" s="8">
        <f>Consolidated_PL!I26</f>
        <v>238302.07332287316</v>
      </c>
    </row>
    <row r="34" spans="1:11" x14ac:dyDescent="0.15">
      <c r="A34" s="48" t="s">
        <v>252</v>
      </c>
      <c r="B34" s="49">
        <f t="shared" ref="B34:I34" si="9">B32-B33</f>
        <v>0</v>
      </c>
      <c r="C34" s="49">
        <f t="shared" si="9"/>
        <v>0</v>
      </c>
      <c r="D34" s="49">
        <f t="shared" si="9"/>
        <v>0</v>
      </c>
      <c r="E34" s="49">
        <f t="shared" si="9"/>
        <v>0</v>
      </c>
      <c r="F34" s="49">
        <f t="shared" si="9"/>
        <v>0</v>
      </c>
      <c r="G34" s="49">
        <f t="shared" si="9"/>
        <v>0</v>
      </c>
      <c r="H34" s="49">
        <f t="shared" si="9"/>
        <v>0</v>
      </c>
      <c r="I34" s="49">
        <f t="shared" si="9"/>
        <v>0</v>
      </c>
      <c r="K34" s="20" t="s">
        <v>253</v>
      </c>
    </row>
    <row r="37" spans="1:11" x14ac:dyDescent="0.15">
      <c r="A37" s="15" t="s">
        <v>67</v>
      </c>
    </row>
    <row r="38" spans="1:11" x14ac:dyDescent="0.15">
      <c r="A38" s="14" t="s">
        <v>68</v>
      </c>
    </row>
    <row r="39" spans="1:11" x14ac:dyDescent="0.15">
      <c r="A39" s="14" t="s">
        <v>69</v>
      </c>
    </row>
    <row r="40" spans="1:11" x14ac:dyDescent="0.15">
      <c r="A40" s="14" t="s">
        <v>70</v>
      </c>
    </row>
    <row r="41" spans="1:11" x14ac:dyDescent="0.15">
      <c r="A41" s="14" t="s">
        <v>71</v>
      </c>
    </row>
    <row r="42" spans="1:11" x14ac:dyDescent="0.15">
      <c r="A42" s="14" t="s">
        <v>72</v>
      </c>
    </row>
    <row r="44" spans="1:11" x14ac:dyDescent="0.15">
      <c r="A44" s="15" t="s">
        <v>73</v>
      </c>
    </row>
    <row r="45" spans="1:11" x14ac:dyDescent="0.15">
      <c r="A45" s="14" t="s">
        <v>74</v>
      </c>
    </row>
    <row r="46" spans="1:11" x14ac:dyDescent="0.15">
      <c r="A46" s="14" t="s">
        <v>75</v>
      </c>
    </row>
    <row r="47" spans="1:11" x14ac:dyDescent="0.15">
      <c r="A47" s="14" t="s">
        <v>76</v>
      </c>
    </row>
    <row r="48" spans="1:11" x14ac:dyDescent="0.15">
      <c r="A48" s="14" t="s">
        <v>77</v>
      </c>
    </row>
  </sheetData>
  <mergeCells count="5">
    <mergeCell ref="A21:K21"/>
    <mergeCell ref="A13:K13"/>
    <mergeCell ref="A5:K5"/>
    <mergeCell ref="A27:K27"/>
    <mergeCell ref="A31:K31"/>
  </mergeCells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4" customWidth="1"/>
    <col min="2" max="10" width="15" customWidth="1"/>
    <col min="11" max="11" width="38" customWidth="1"/>
  </cols>
  <sheetData>
    <row r="1" spans="1:11" ht="18.75" x14ac:dyDescent="0.25">
      <c r="A1" s="4" t="s">
        <v>254</v>
      </c>
    </row>
    <row r="2" spans="1:11" x14ac:dyDescent="0.15">
      <c r="A2" s="5" t="s">
        <v>111</v>
      </c>
    </row>
    <row r="3" spans="1:11" x14ac:dyDescent="0.15">
      <c r="A3" s="40"/>
      <c r="B3" s="6">
        <v>2023</v>
      </c>
      <c r="C3" s="6">
        <v>2024</v>
      </c>
      <c r="D3" s="6">
        <v>2025</v>
      </c>
      <c r="E3" s="6" t="s">
        <v>31</v>
      </c>
      <c r="F3" s="6" t="s">
        <v>32</v>
      </c>
      <c r="G3" s="6" t="s">
        <v>33</v>
      </c>
      <c r="H3" s="6" t="s">
        <v>114</v>
      </c>
      <c r="I3" s="6" t="s">
        <v>115</v>
      </c>
      <c r="K3" s="6" t="s">
        <v>85</v>
      </c>
    </row>
    <row r="5" spans="1:11" x14ac:dyDescent="0.15">
      <c r="A5" s="45" t="s">
        <v>215</v>
      </c>
      <c r="B5" s="50">
        <f>Segment_Revenue!B31</f>
        <v>307394</v>
      </c>
      <c r="C5" s="50">
        <f>Segment_Revenue!C31</f>
        <v>350018</v>
      </c>
      <c r="D5" s="50">
        <f>Segment_Revenue!D31</f>
        <v>402836</v>
      </c>
      <c r="E5" s="50">
        <f>Segment_Revenue!E31</f>
        <v>461372.98000000004</v>
      </c>
      <c r="F5" s="50">
        <f>Segment_Revenue!F31</f>
        <v>519292.88640000002</v>
      </c>
      <c r="G5" s="50">
        <f>Segment_Revenue!G31</f>
        <v>578808.58630199998</v>
      </c>
      <c r="H5" s="50">
        <f>Segment_Revenue!H31</f>
        <v>637135.14262038004</v>
      </c>
      <c r="I5" s="50">
        <f>Segment_Revenue!I31</f>
        <v>693088.26108294807</v>
      </c>
      <c r="K5" s="20" t="s">
        <v>228</v>
      </c>
    </row>
    <row r="6" spans="1:11" x14ac:dyDescent="0.15">
      <c r="A6" s="12" t="s">
        <v>200</v>
      </c>
      <c r="C6" s="10">
        <f t="shared" ref="C6:I6" si="0">C5/B5-1</f>
        <v>0.13866243322901561</v>
      </c>
      <c r="D6" s="10">
        <f t="shared" si="0"/>
        <v>0.15090081081544371</v>
      </c>
      <c r="E6" s="10">
        <f t="shared" si="0"/>
        <v>0.14531218659702727</v>
      </c>
      <c r="F6" s="10">
        <f t="shared" si="0"/>
        <v>0.12553814139701025</v>
      </c>
      <c r="G6" s="10">
        <f t="shared" si="0"/>
        <v>0.11460911840058663</v>
      </c>
      <c r="H6" s="10">
        <f t="shared" si="0"/>
        <v>0.10077002604786434</v>
      </c>
      <c r="I6" s="10">
        <f t="shared" si="0"/>
        <v>8.7819859115676246E-2</v>
      </c>
    </row>
    <row r="7" spans="1:11" x14ac:dyDescent="0.15">
      <c r="A7" s="47" t="s">
        <v>255</v>
      </c>
      <c r="B7" s="8">
        <f>Segment_Revenue!B13</f>
        <v>237855</v>
      </c>
      <c r="C7" s="8">
        <f>Segment_Revenue!C13</f>
        <v>264590</v>
      </c>
      <c r="D7" s="8">
        <f>Segment_Revenue!D13</f>
        <v>294691</v>
      </c>
      <c r="E7" s="8">
        <f>Segment_Revenue!E13</f>
        <v>326690.38</v>
      </c>
      <c r="F7" s="8">
        <f>Segment_Revenue!F13</f>
        <v>356776.24640000006</v>
      </c>
      <c r="G7" s="8">
        <f>Segment_Revenue!G13</f>
        <v>386540.29075200006</v>
      </c>
      <c r="H7" s="8">
        <f>Segment_Revenue!H13</f>
        <v>415481.11015488015</v>
      </c>
      <c r="I7" s="8">
        <f>Segment_Revenue!I13</f>
        <v>443219.75975692814</v>
      </c>
      <c r="K7" s="20" t="s">
        <v>256</v>
      </c>
    </row>
    <row r="9" spans="1:11" x14ac:dyDescent="0.15">
      <c r="A9" s="63" t="s">
        <v>257</v>
      </c>
      <c r="B9" s="64"/>
      <c r="C9" s="64"/>
      <c r="D9" s="64"/>
      <c r="E9" s="64"/>
      <c r="F9" s="64"/>
      <c r="G9" s="64"/>
      <c r="H9" s="64"/>
      <c r="I9" s="64"/>
      <c r="J9" s="64"/>
      <c r="K9" s="64"/>
    </row>
    <row r="10" spans="1:11" x14ac:dyDescent="0.15">
      <c r="A10" s="47" t="s">
        <v>258</v>
      </c>
      <c r="B10" s="41">
        <v>49316</v>
      </c>
      <c r="C10" s="41">
        <v>54900</v>
      </c>
      <c r="D10" s="41">
        <v>59926</v>
      </c>
      <c r="E10" s="42">
        <f>E7*Assumptions!$I$61</f>
        <v>65338.076000000001</v>
      </c>
      <c r="F10" s="42">
        <f>F7*Assumptions!$I$61</f>
        <v>71355.249280000018</v>
      </c>
      <c r="G10" s="42">
        <f>G7*Assumptions!$I$61</f>
        <v>77308.058150400015</v>
      </c>
      <c r="H10" s="42">
        <f>H7*Assumptions!$I$61</f>
        <v>83096.222030976031</v>
      </c>
      <c r="I10" s="42">
        <f>I7*Assumptions!$I$61</f>
        <v>88643.951951385636</v>
      </c>
      <c r="K10" s="20" t="s">
        <v>259</v>
      </c>
    </row>
    <row r="11" spans="1:11" x14ac:dyDescent="0.15">
      <c r="A11" s="12" t="s">
        <v>260</v>
      </c>
      <c r="B11" s="10">
        <f t="shared" ref="B11:I11" si="1">B10/B7</f>
        <v>0.20733640243005191</v>
      </c>
      <c r="C11" s="10">
        <f t="shared" si="1"/>
        <v>0.20749083487660153</v>
      </c>
      <c r="D11" s="10">
        <f t="shared" si="1"/>
        <v>0.20335198563919496</v>
      </c>
      <c r="E11" s="10">
        <f t="shared" si="1"/>
        <v>0.2</v>
      </c>
      <c r="F11" s="10">
        <f t="shared" si="1"/>
        <v>0.2</v>
      </c>
      <c r="G11" s="10">
        <f t="shared" si="1"/>
        <v>0.2</v>
      </c>
      <c r="H11" s="10">
        <f t="shared" si="1"/>
        <v>0.2</v>
      </c>
      <c r="I11" s="10">
        <f t="shared" si="1"/>
        <v>0.2</v>
      </c>
    </row>
    <row r="12" spans="1:11" x14ac:dyDescent="0.15">
      <c r="A12" s="47" t="s">
        <v>261</v>
      </c>
      <c r="B12" s="41">
        <v>84016</v>
      </c>
      <c r="C12" s="41">
        <v>91406</v>
      </c>
      <c r="D12" s="41">
        <v>102609</v>
      </c>
      <c r="E12" s="42">
        <f>E5*Assumptions!$I$62</f>
        <v>115343.24500000001</v>
      </c>
      <c r="F12" s="42">
        <f>F5*Assumptions!$I$62</f>
        <v>129823.2216</v>
      </c>
      <c r="G12" s="42">
        <f>G5*Assumptions!$I$62</f>
        <v>144702.1465755</v>
      </c>
      <c r="H12" s="42">
        <f>H5*Assumptions!$I$62</f>
        <v>159283.78565509501</v>
      </c>
      <c r="I12" s="42">
        <f>I5*Assumptions!$I$62</f>
        <v>173272.06527073702</v>
      </c>
      <c r="K12" s="20" t="s">
        <v>262</v>
      </c>
    </row>
    <row r="13" spans="1:11" x14ac:dyDescent="0.15">
      <c r="A13" s="12" t="s">
        <v>263</v>
      </c>
      <c r="B13" s="10">
        <f t="shared" ref="B13:I13" si="2">B12/B5</f>
        <v>0.27331698081289812</v>
      </c>
      <c r="C13" s="10">
        <f t="shared" si="2"/>
        <v>0.26114656960499172</v>
      </c>
      <c r="D13" s="10">
        <f t="shared" si="2"/>
        <v>0.25471655959248923</v>
      </c>
      <c r="E13" s="10">
        <f t="shared" si="2"/>
        <v>0.25</v>
      </c>
      <c r="F13" s="10">
        <f t="shared" si="2"/>
        <v>0.25</v>
      </c>
      <c r="G13" s="10">
        <f t="shared" si="2"/>
        <v>0.25</v>
      </c>
      <c r="H13" s="10">
        <f t="shared" si="2"/>
        <v>0.25</v>
      </c>
      <c r="I13" s="10">
        <f t="shared" si="2"/>
        <v>0.25</v>
      </c>
    </row>
    <row r="14" spans="1:11" x14ac:dyDescent="0.15">
      <c r="A14" s="7" t="s">
        <v>264</v>
      </c>
      <c r="B14" s="42">
        <f t="shared" ref="B14:I14" si="3">B10+B12</f>
        <v>133332</v>
      </c>
      <c r="C14" s="42">
        <f t="shared" si="3"/>
        <v>146306</v>
      </c>
      <c r="D14" s="42">
        <f t="shared" si="3"/>
        <v>162535</v>
      </c>
      <c r="E14" s="42">
        <f t="shared" si="3"/>
        <v>180681.321</v>
      </c>
      <c r="F14" s="42">
        <f t="shared" si="3"/>
        <v>201178.47088000004</v>
      </c>
      <c r="G14" s="42">
        <f t="shared" si="3"/>
        <v>222010.20472590002</v>
      </c>
      <c r="H14" s="42">
        <f t="shared" si="3"/>
        <v>242380.00768607104</v>
      </c>
      <c r="I14" s="42">
        <f t="shared" si="3"/>
        <v>261916.01722212264</v>
      </c>
    </row>
    <row r="15" spans="1:11" x14ac:dyDescent="0.15">
      <c r="A15" s="43" t="s">
        <v>265</v>
      </c>
      <c r="B15" s="44">
        <f t="shared" ref="B15:I15" si="4">B5-B14</f>
        <v>174062</v>
      </c>
      <c r="C15" s="44">
        <f t="shared" si="4"/>
        <v>203712</v>
      </c>
      <c r="D15" s="44">
        <f t="shared" si="4"/>
        <v>240301</v>
      </c>
      <c r="E15" s="44">
        <f t="shared" si="4"/>
        <v>280691.65900000004</v>
      </c>
      <c r="F15" s="44">
        <f t="shared" si="4"/>
        <v>318114.41551999998</v>
      </c>
      <c r="G15" s="44">
        <f t="shared" si="4"/>
        <v>356798.38157609996</v>
      </c>
      <c r="H15" s="44">
        <f t="shared" si="4"/>
        <v>394755.134934309</v>
      </c>
      <c r="I15" s="44">
        <f t="shared" si="4"/>
        <v>431172.24386082543</v>
      </c>
      <c r="K15" s="20" t="s">
        <v>266</v>
      </c>
    </row>
    <row r="16" spans="1:11" x14ac:dyDescent="0.15">
      <c r="A16" s="12" t="s">
        <v>267</v>
      </c>
      <c r="B16" s="10">
        <f t="shared" ref="B16:I16" si="5">B15/B5</f>
        <v>0.56625047984020505</v>
      </c>
      <c r="C16" s="10">
        <f t="shared" si="5"/>
        <v>0.58200435406179107</v>
      </c>
      <c r="D16" s="10">
        <f t="shared" si="5"/>
        <v>0.59652315086039975</v>
      </c>
      <c r="E16" s="10">
        <f t="shared" si="5"/>
        <v>0.60838339297632904</v>
      </c>
      <c r="F16" s="10">
        <f t="shared" si="5"/>
        <v>0.61259151405929979</v>
      </c>
      <c r="G16" s="10">
        <f t="shared" si="5"/>
        <v>0.61643588229345359</v>
      </c>
      <c r="H16" s="10">
        <f t="shared" si="5"/>
        <v>0.61957834143440638</v>
      </c>
      <c r="I16" s="10">
        <f t="shared" si="5"/>
        <v>0.62210293850182985</v>
      </c>
    </row>
    <row r="18" spans="1:11" x14ac:dyDescent="0.15">
      <c r="A18" s="63" t="s">
        <v>268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x14ac:dyDescent="0.15">
      <c r="A19" s="47" t="s">
        <v>269</v>
      </c>
      <c r="B19" s="41">
        <v>45427</v>
      </c>
      <c r="C19" s="41">
        <v>49326</v>
      </c>
      <c r="D19" s="41">
        <v>61087</v>
      </c>
      <c r="E19" s="42">
        <f>E5*Assumptions!$I$63</f>
        <v>66899.0821</v>
      </c>
      <c r="F19" s="42">
        <f>F5*Assumptions!$I$63</f>
        <v>75297.468527999998</v>
      </c>
      <c r="G19" s="42">
        <f>G5*Assumptions!$I$63</f>
        <v>83927.245013789987</v>
      </c>
      <c r="H19" s="42">
        <f>H5*Assumptions!$I$63</f>
        <v>92384.595679955106</v>
      </c>
      <c r="I19" s="42">
        <f>I5*Assumptions!$I$63</f>
        <v>100497.79785702746</v>
      </c>
      <c r="K19" s="20" t="s">
        <v>270</v>
      </c>
    </row>
    <row r="20" spans="1:11" x14ac:dyDescent="0.15">
      <c r="A20" s="12" t="s">
        <v>271</v>
      </c>
      <c r="B20" s="10">
        <f t="shared" ref="B20:I20" si="6">B19/B5</f>
        <v>0.14778102370247956</v>
      </c>
      <c r="C20" s="10">
        <f t="shared" si="6"/>
        <v>0.14092418104211785</v>
      </c>
      <c r="D20" s="10">
        <f t="shared" si="6"/>
        <v>0.15164235569810047</v>
      </c>
      <c r="E20" s="10">
        <f t="shared" si="6"/>
        <v>0.14499999999999999</v>
      </c>
      <c r="F20" s="10">
        <f t="shared" si="6"/>
        <v>0.14499999999999999</v>
      </c>
      <c r="G20" s="10">
        <f t="shared" si="6"/>
        <v>0.14499999999999999</v>
      </c>
      <c r="H20" s="10">
        <f t="shared" si="6"/>
        <v>0.14499999999999999</v>
      </c>
      <c r="I20" s="10">
        <f t="shared" si="6"/>
        <v>0.14499999999999999</v>
      </c>
    </row>
    <row r="21" spans="1:11" x14ac:dyDescent="0.15">
      <c r="A21" s="47" t="s">
        <v>272</v>
      </c>
      <c r="B21" s="41">
        <v>27917</v>
      </c>
      <c r="C21" s="41">
        <v>27808</v>
      </c>
      <c r="D21" s="41">
        <v>28693</v>
      </c>
      <c r="E21" s="42">
        <f>E5*Assumptions!$I$64</f>
        <v>31373.362640000007</v>
      </c>
      <c r="F21" s="42">
        <f>F5*Assumptions!$I$64</f>
        <v>35311.916275200005</v>
      </c>
      <c r="G21" s="42">
        <f>G5*Assumptions!$I$64</f>
        <v>39358.983868536001</v>
      </c>
      <c r="H21" s="42">
        <f>H5*Assumptions!$I$64</f>
        <v>43325.189698185844</v>
      </c>
      <c r="I21" s="42">
        <f>I5*Assumptions!$I$64</f>
        <v>47130.00175364047</v>
      </c>
      <c r="K21" s="20" t="s">
        <v>273</v>
      </c>
    </row>
    <row r="22" spans="1:11" x14ac:dyDescent="0.15">
      <c r="A22" s="12" t="s">
        <v>274</v>
      </c>
      <c r="B22" s="10">
        <f t="shared" ref="B22:I22" si="7">B21/B5</f>
        <v>9.0818298340240869E-2</v>
      </c>
      <c r="C22" s="10">
        <f t="shared" si="7"/>
        <v>7.94473427080893E-2</v>
      </c>
      <c r="D22" s="10">
        <f t="shared" si="7"/>
        <v>7.1227497045944249E-2</v>
      </c>
      <c r="E22" s="10">
        <f t="shared" si="7"/>
        <v>6.8000000000000005E-2</v>
      </c>
      <c r="F22" s="10">
        <f t="shared" si="7"/>
        <v>6.8000000000000005E-2</v>
      </c>
      <c r="G22" s="10">
        <f t="shared" si="7"/>
        <v>6.8000000000000005E-2</v>
      </c>
      <c r="H22" s="10">
        <f t="shared" si="7"/>
        <v>6.8000000000000005E-2</v>
      </c>
      <c r="I22" s="10">
        <f t="shared" si="7"/>
        <v>6.8000000000000005E-2</v>
      </c>
    </row>
    <row r="23" spans="1:11" x14ac:dyDescent="0.15">
      <c r="A23" s="47" t="s">
        <v>275</v>
      </c>
      <c r="B23" s="41">
        <v>16425</v>
      </c>
      <c r="C23" s="41">
        <v>14188</v>
      </c>
      <c r="D23" s="41">
        <v>21482</v>
      </c>
      <c r="E23" s="42">
        <f>E5*Assumptions!$I$65</f>
        <v>18454.9192</v>
      </c>
      <c r="F23" s="42">
        <f>F5*Assumptions!$I$65</f>
        <v>20771.715456000002</v>
      </c>
      <c r="G23" s="42">
        <f>G5*Assumptions!$I$65</f>
        <v>23152.34345208</v>
      </c>
      <c r="H23" s="42">
        <f>H5*Assumptions!$I$65</f>
        <v>25485.405704815203</v>
      </c>
      <c r="I23" s="42">
        <f>I5*Assumptions!$I$65</f>
        <v>27723.530443317923</v>
      </c>
      <c r="K23" s="20" t="s">
        <v>276</v>
      </c>
    </row>
    <row r="24" spans="1:11" x14ac:dyDescent="0.15">
      <c r="A24" s="12" t="s">
        <v>277</v>
      </c>
      <c r="B24" s="10">
        <f t="shared" ref="B24:I24" si="8">B23/B5</f>
        <v>5.3433053345218189E-2</v>
      </c>
      <c r="C24" s="10">
        <f t="shared" si="8"/>
        <v>4.0535058197007014E-2</v>
      </c>
      <c r="D24" s="10">
        <f t="shared" si="8"/>
        <v>5.3326912192554789E-2</v>
      </c>
      <c r="E24" s="10">
        <f t="shared" si="8"/>
        <v>3.9999999999999994E-2</v>
      </c>
      <c r="F24" s="10">
        <f t="shared" si="8"/>
        <v>0.04</v>
      </c>
      <c r="G24" s="10">
        <f t="shared" si="8"/>
        <v>0.04</v>
      </c>
      <c r="H24" s="10">
        <f t="shared" si="8"/>
        <v>0.04</v>
      </c>
      <c r="I24" s="10">
        <f t="shared" si="8"/>
        <v>0.04</v>
      </c>
    </row>
    <row r="25" spans="1:11" x14ac:dyDescent="0.15">
      <c r="A25" s="7" t="s">
        <v>278</v>
      </c>
      <c r="B25" s="42">
        <f t="shared" ref="B25:I25" si="9">B19+B21+B23</f>
        <v>89769</v>
      </c>
      <c r="C25" s="42">
        <f t="shared" si="9"/>
        <v>91322</v>
      </c>
      <c r="D25" s="42">
        <f t="shared" si="9"/>
        <v>111262</v>
      </c>
      <c r="E25" s="42">
        <f t="shared" si="9"/>
        <v>116727.36394000001</v>
      </c>
      <c r="F25" s="42">
        <f t="shared" si="9"/>
        <v>131381.1002592</v>
      </c>
      <c r="G25" s="42">
        <f t="shared" si="9"/>
        <v>146438.572334406</v>
      </c>
      <c r="H25" s="42">
        <f t="shared" si="9"/>
        <v>161195.19108295615</v>
      </c>
      <c r="I25" s="42">
        <f t="shared" si="9"/>
        <v>175351.33005398585</v>
      </c>
      <c r="K25" s="20" t="s">
        <v>279</v>
      </c>
    </row>
    <row r="26" spans="1:11" x14ac:dyDescent="0.15">
      <c r="A26" s="45" t="s">
        <v>280</v>
      </c>
      <c r="B26" s="50">
        <f>Segment_PL!B32</f>
        <v>84293</v>
      </c>
      <c r="C26" s="50">
        <f>Segment_PL!C32</f>
        <v>112390</v>
      </c>
      <c r="D26" s="50">
        <f>Segment_PL!D32</f>
        <v>129039</v>
      </c>
      <c r="E26" s="50">
        <f>Segment_PL!E32</f>
        <v>157314.70025999998</v>
      </c>
      <c r="F26" s="50">
        <f>Segment_PL!F32</f>
        <v>177860.09031880001</v>
      </c>
      <c r="G26" s="50">
        <f>Segment_PL!G32</f>
        <v>198660.53663768401</v>
      </c>
      <c r="H26" s="50">
        <f>Segment_PL!H32</f>
        <v>218798.98130203597</v>
      </c>
      <c r="I26" s="50">
        <f>Segment_PL!I32</f>
        <v>238302.07332287316</v>
      </c>
      <c r="K26" s="20" t="s">
        <v>281</v>
      </c>
    </row>
    <row r="27" spans="1:11" x14ac:dyDescent="0.15">
      <c r="A27" s="12" t="s">
        <v>282</v>
      </c>
      <c r="B27" s="10">
        <f t="shared" ref="B27:I27" si="10">B26/B5</f>
        <v>0.27421810445226646</v>
      </c>
      <c r="C27" s="10">
        <f t="shared" si="10"/>
        <v>0.32109777211457696</v>
      </c>
      <c r="D27" s="10">
        <f t="shared" si="10"/>
        <v>0.32032638592380025</v>
      </c>
      <c r="E27" s="10">
        <f t="shared" si="10"/>
        <v>0.34097077002645443</v>
      </c>
      <c r="F27" s="10">
        <f t="shared" si="10"/>
        <v>0.34250438428266522</v>
      </c>
      <c r="G27" s="10">
        <f t="shared" si="10"/>
        <v>0.34322320252179295</v>
      </c>
      <c r="H27" s="10">
        <f t="shared" si="10"/>
        <v>0.34341063090974644</v>
      </c>
      <c r="I27" s="10">
        <f t="shared" si="10"/>
        <v>0.34382644563987702</v>
      </c>
    </row>
    <row r="28" spans="1:11" x14ac:dyDescent="0.15">
      <c r="A28" s="12" t="s">
        <v>283</v>
      </c>
      <c r="B28" s="51">
        <f t="shared" ref="B28:I28" si="11">B15-B26</f>
        <v>89769</v>
      </c>
      <c r="C28" s="51">
        <f t="shared" si="11"/>
        <v>91322</v>
      </c>
      <c r="D28" s="51">
        <f t="shared" si="11"/>
        <v>111262</v>
      </c>
      <c r="E28" s="51">
        <f t="shared" si="11"/>
        <v>123376.95874000006</v>
      </c>
      <c r="F28" s="51">
        <f t="shared" si="11"/>
        <v>140254.32520119997</v>
      </c>
      <c r="G28" s="51">
        <f t="shared" si="11"/>
        <v>158137.84493841595</v>
      </c>
      <c r="H28" s="51">
        <f t="shared" si="11"/>
        <v>175956.15363227302</v>
      </c>
      <c r="I28" s="51">
        <f t="shared" si="11"/>
        <v>192870.17053795228</v>
      </c>
    </row>
    <row r="30" spans="1:11" x14ac:dyDescent="0.15">
      <c r="A30" s="47" t="s">
        <v>284</v>
      </c>
      <c r="B30" s="41">
        <v>1424</v>
      </c>
      <c r="C30" s="41">
        <v>7425</v>
      </c>
      <c r="D30" s="41">
        <v>29787</v>
      </c>
      <c r="E30" s="30">
        <v>5000</v>
      </c>
      <c r="F30" s="30">
        <v>5500</v>
      </c>
      <c r="G30" s="30">
        <v>6000</v>
      </c>
      <c r="H30" s="30">
        <v>6500</v>
      </c>
      <c r="I30" s="30">
        <v>7000</v>
      </c>
      <c r="K30" s="20" t="s">
        <v>285</v>
      </c>
    </row>
    <row r="31" spans="1:11" x14ac:dyDescent="0.15">
      <c r="A31" s="7" t="s">
        <v>286</v>
      </c>
      <c r="B31" s="42">
        <f t="shared" ref="B31:I31" si="12">B26+B30</f>
        <v>85717</v>
      </c>
      <c r="C31" s="42">
        <f t="shared" si="12"/>
        <v>119815</v>
      </c>
      <c r="D31" s="42">
        <f t="shared" si="12"/>
        <v>158826</v>
      </c>
      <c r="E31" s="42">
        <f t="shared" si="12"/>
        <v>162314.70025999998</v>
      </c>
      <c r="F31" s="42">
        <f t="shared" si="12"/>
        <v>183360.09031880001</v>
      </c>
      <c r="G31" s="42">
        <f t="shared" si="12"/>
        <v>204660.53663768401</v>
      </c>
      <c r="H31" s="42">
        <f t="shared" si="12"/>
        <v>225298.98130203597</v>
      </c>
      <c r="I31" s="42">
        <f t="shared" si="12"/>
        <v>245302.07332287316</v>
      </c>
    </row>
    <row r="32" spans="1:11" x14ac:dyDescent="0.15">
      <c r="A32" s="47" t="s">
        <v>287</v>
      </c>
      <c r="B32" s="41">
        <v>11922</v>
      </c>
      <c r="C32" s="41">
        <v>19697</v>
      </c>
      <c r="D32" s="41">
        <v>26656</v>
      </c>
      <c r="E32" s="42">
        <f>E31*Assumptions!$I$11</f>
        <v>27593.499044199998</v>
      </c>
      <c r="F32" s="42">
        <f>F31*Assumptions!$I$11</f>
        <v>31171.215354196003</v>
      </c>
      <c r="G32" s="42">
        <f>G31*Assumptions!$I$11</f>
        <v>34792.291228406284</v>
      </c>
      <c r="H32" s="42">
        <f>H31*Assumptions!$I$11</f>
        <v>38300.82682134612</v>
      </c>
      <c r="I32" s="42">
        <f>I31*Assumptions!$I$11</f>
        <v>41701.352464888441</v>
      </c>
      <c r="K32" s="20" t="s">
        <v>288</v>
      </c>
    </row>
    <row r="33" spans="1:11" x14ac:dyDescent="0.15">
      <c r="A33" s="45" t="s">
        <v>289</v>
      </c>
      <c r="B33" s="46">
        <f t="shared" ref="B33:I33" si="13">B31-B32</f>
        <v>73795</v>
      </c>
      <c r="C33" s="46">
        <f t="shared" si="13"/>
        <v>100118</v>
      </c>
      <c r="D33" s="46">
        <f t="shared" si="13"/>
        <v>132170</v>
      </c>
      <c r="E33" s="46">
        <f t="shared" si="13"/>
        <v>134721.20121579999</v>
      </c>
      <c r="F33" s="46">
        <f t="shared" si="13"/>
        <v>152188.87496460401</v>
      </c>
      <c r="G33" s="46">
        <f t="shared" si="13"/>
        <v>169868.24540927773</v>
      </c>
      <c r="H33" s="46">
        <f t="shared" si="13"/>
        <v>186998.15448068985</v>
      </c>
      <c r="I33" s="46">
        <f t="shared" si="13"/>
        <v>203600.72085798471</v>
      </c>
      <c r="K33" s="20" t="s">
        <v>290</v>
      </c>
    </row>
    <row r="34" spans="1:11" x14ac:dyDescent="0.15">
      <c r="A34" s="12" t="s">
        <v>291</v>
      </c>
      <c r="B34" s="10">
        <f t="shared" ref="B34:I34" si="14">B33/B5</f>
        <v>0.24006649446638517</v>
      </c>
      <c r="C34" s="10">
        <f t="shared" si="14"/>
        <v>0.28603671811164</v>
      </c>
      <c r="D34" s="10">
        <f t="shared" si="14"/>
        <v>0.32809877965226542</v>
      </c>
      <c r="E34" s="10">
        <f t="shared" si="14"/>
        <v>0.29200063084708594</v>
      </c>
      <c r="F34" s="10">
        <f t="shared" si="14"/>
        <v>0.2930694391360798</v>
      </c>
      <c r="G34" s="10">
        <f t="shared" si="14"/>
        <v>0.29347913875045217</v>
      </c>
      <c r="H34" s="10">
        <f t="shared" si="14"/>
        <v>0.29349841496987977</v>
      </c>
      <c r="I34" s="10">
        <f t="shared" si="14"/>
        <v>0.29375872062796055</v>
      </c>
    </row>
    <row r="35" spans="1:11" x14ac:dyDescent="0.15">
      <c r="A35" s="12" t="s">
        <v>292</v>
      </c>
      <c r="C35" s="10">
        <f t="shared" ref="C35:I35" si="15">C33/B33-1</f>
        <v>0.35670438376583768</v>
      </c>
      <c r="D35" s="10">
        <f t="shared" si="15"/>
        <v>0.32014223216604409</v>
      </c>
      <c r="E35" s="10">
        <f t="shared" si="15"/>
        <v>1.9302422757055293E-2</v>
      </c>
      <c r="F35" s="10">
        <f t="shared" si="15"/>
        <v>0.12965794241118611</v>
      </c>
      <c r="G35" s="10">
        <f t="shared" si="15"/>
        <v>0.11616729835729167</v>
      </c>
      <c r="H35" s="10">
        <f t="shared" si="15"/>
        <v>0.10084232653454217</v>
      </c>
      <c r="I35" s="10">
        <f t="shared" si="15"/>
        <v>8.8784653642179689E-2</v>
      </c>
    </row>
    <row r="37" spans="1:11" x14ac:dyDescent="0.15">
      <c r="A37" s="7" t="s">
        <v>293</v>
      </c>
      <c r="B37" s="41">
        <v>11946</v>
      </c>
      <c r="C37" s="41">
        <v>15311</v>
      </c>
      <c r="D37" s="41">
        <v>21136</v>
      </c>
      <c r="E37" s="42">
        <f>E5*Assumptions!$I$66</f>
        <v>25375.513900000002</v>
      </c>
      <c r="F37" s="42">
        <f>F5*Assumptions!$I$66</f>
        <v>28561.108752</v>
      </c>
      <c r="G37" s="42">
        <f>G5*Assumptions!$I$66</f>
        <v>31834.472246609999</v>
      </c>
      <c r="H37" s="42">
        <f>H5*Assumptions!$I$66</f>
        <v>35042.4328441209</v>
      </c>
      <c r="I37" s="42">
        <f>I5*Assumptions!$I$66</f>
        <v>38119.854359562145</v>
      </c>
      <c r="K37" s="20" t="s">
        <v>294</v>
      </c>
    </row>
    <row r="38" spans="1:11" x14ac:dyDescent="0.15">
      <c r="A38" s="7" t="s">
        <v>295</v>
      </c>
      <c r="B38" s="41">
        <v>22460</v>
      </c>
      <c r="C38" s="41">
        <v>22785</v>
      </c>
      <c r="D38" s="41">
        <v>24953</v>
      </c>
      <c r="E38" s="42">
        <f>E5*Assumptions!$I$67</f>
        <v>26759.632840000002</v>
      </c>
      <c r="F38" s="42">
        <f>F5*Assumptions!$I$67</f>
        <v>30118.987411200003</v>
      </c>
      <c r="G38" s="42">
        <f>G5*Assumptions!$I$67</f>
        <v>33570.898005515999</v>
      </c>
      <c r="H38" s="42">
        <f>H5*Assumptions!$I$67</f>
        <v>36953.838271982044</v>
      </c>
      <c r="I38" s="42">
        <f>I5*Assumptions!$I$67</f>
        <v>40199.119142810989</v>
      </c>
      <c r="K38" s="20" t="s">
        <v>296</v>
      </c>
    </row>
    <row r="40" spans="1:11" x14ac:dyDescent="0.15">
      <c r="A40" s="7" t="s">
        <v>110</v>
      </c>
      <c r="B40" s="41">
        <v>12722</v>
      </c>
      <c r="C40" s="41">
        <v>12447</v>
      </c>
      <c r="D40" s="41">
        <v>12230</v>
      </c>
      <c r="E40" s="42">
        <f>D40*0.98</f>
        <v>11985.4</v>
      </c>
      <c r="F40" s="42">
        <f>E40*0.98</f>
        <v>11745.691999999999</v>
      </c>
      <c r="G40" s="42">
        <f>F40*0.98</f>
        <v>11510.778159999998</v>
      </c>
      <c r="H40" s="42">
        <f>G40*0.98</f>
        <v>11280.562596799999</v>
      </c>
      <c r="I40" s="42">
        <f>H40*0.98</f>
        <v>11054.951344863999</v>
      </c>
      <c r="K40" s="20" t="s">
        <v>297</v>
      </c>
    </row>
    <row r="41" spans="1:11" x14ac:dyDescent="0.15">
      <c r="A41" s="45" t="s">
        <v>298</v>
      </c>
      <c r="B41" s="52">
        <f t="shared" ref="B41:I41" si="16">B33/B40</f>
        <v>5.800581669548813</v>
      </c>
      <c r="C41" s="52">
        <f t="shared" si="16"/>
        <v>8.0435446292279256</v>
      </c>
      <c r="D41" s="52">
        <f t="shared" si="16"/>
        <v>10.807031888798038</v>
      </c>
      <c r="E41" s="52">
        <f t="shared" si="16"/>
        <v>11.240442639861831</v>
      </c>
      <c r="F41" s="52">
        <f t="shared" si="16"/>
        <v>12.956995208507427</v>
      </c>
      <c r="G41" s="52">
        <f t="shared" si="16"/>
        <v>14.75732075174297</v>
      </c>
      <c r="H41" s="52">
        <f t="shared" si="16"/>
        <v>16.577023785474701</v>
      </c>
      <c r="I41" s="52">
        <f t="shared" si="16"/>
        <v>18.417152143557395</v>
      </c>
      <c r="K41" s="20" t="s">
        <v>299</v>
      </c>
    </row>
    <row r="44" spans="1:11" x14ac:dyDescent="0.15">
      <c r="A44" s="15" t="s">
        <v>67</v>
      </c>
    </row>
    <row r="45" spans="1:11" x14ac:dyDescent="0.15">
      <c r="A45" s="14" t="s">
        <v>68</v>
      </c>
    </row>
    <row r="46" spans="1:11" x14ac:dyDescent="0.15">
      <c r="A46" s="14" t="s">
        <v>69</v>
      </c>
    </row>
    <row r="47" spans="1:11" x14ac:dyDescent="0.15">
      <c r="A47" s="14" t="s">
        <v>70</v>
      </c>
    </row>
    <row r="48" spans="1:11" x14ac:dyDescent="0.15">
      <c r="A48" s="14" t="s">
        <v>71</v>
      </c>
    </row>
    <row r="49" spans="1:1" x14ac:dyDescent="0.15">
      <c r="A49" s="14" t="s">
        <v>72</v>
      </c>
    </row>
    <row r="51" spans="1:1" x14ac:dyDescent="0.15">
      <c r="A51" s="15" t="s">
        <v>73</v>
      </c>
    </row>
    <row r="52" spans="1:1" x14ac:dyDescent="0.15">
      <c r="A52" s="14" t="s">
        <v>74</v>
      </c>
    </row>
    <row r="53" spans="1:1" x14ac:dyDescent="0.15">
      <c r="A53" s="14" t="s">
        <v>75</v>
      </c>
    </row>
    <row r="54" spans="1:1" x14ac:dyDescent="0.15">
      <c r="A54" s="14" t="s">
        <v>76</v>
      </c>
    </row>
    <row r="55" spans="1:1" x14ac:dyDescent="0.15">
      <c r="A55" s="14" t="s">
        <v>77</v>
      </c>
    </row>
  </sheetData>
  <mergeCells count="2">
    <mergeCell ref="A18:K18"/>
    <mergeCell ref="A9:K9"/>
  </mergeCells>
  <phoneticPr fontId="1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7"/>
  <sheetViews>
    <sheetView workbookViewId="0">
      <pane xSplit="1" ySplit="3" topLeftCell="B4" activePane="bottomRight" state="frozen"/>
      <selection pane="topRight"/>
      <selection pane="bottomLeft"/>
      <selection pane="bottomRight" activeCell="F16" sqref="F16"/>
    </sheetView>
  </sheetViews>
  <sheetFormatPr defaultRowHeight="13.5" x14ac:dyDescent="0.15"/>
  <cols>
    <col min="1" max="1" width="44" customWidth="1"/>
    <col min="2" max="10" width="15" customWidth="1"/>
    <col min="11" max="11" width="38" customWidth="1"/>
  </cols>
  <sheetData>
    <row r="1" spans="1:11" ht="18.75" x14ac:dyDescent="0.25">
      <c r="A1" s="4" t="s">
        <v>300</v>
      </c>
    </row>
    <row r="2" spans="1:11" x14ac:dyDescent="0.15">
      <c r="A2" s="5" t="s">
        <v>301</v>
      </c>
    </row>
    <row r="3" spans="1:11" x14ac:dyDescent="0.15">
      <c r="A3" s="40"/>
      <c r="B3" s="6">
        <v>2023</v>
      </c>
      <c r="C3" s="6">
        <v>2024</v>
      </c>
      <c r="D3" s="6">
        <v>2025</v>
      </c>
      <c r="E3" s="6" t="s">
        <v>31</v>
      </c>
      <c r="F3" s="6" t="s">
        <v>32</v>
      </c>
      <c r="G3" s="6" t="s">
        <v>33</v>
      </c>
      <c r="H3" s="6" t="s">
        <v>114</v>
      </c>
      <c r="I3" s="6" t="s">
        <v>115</v>
      </c>
      <c r="K3" s="6" t="s">
        <v>85</v>
      </c>
    </row>
    <row r="5" spans="1:11" x14ac:dyDescent="0.15">
      <c r="A5" s="63" t="s">
        <v>302</v>
      </c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x14ac:dyDescent="0.15">
      <c r="A6" s="47" t="s">
        <v>303</v>
      </c>
      <c r="B6" s="41">
        <v>24048</v>
      </c>
      <c r="C6" s="41">
        <v>23466</v>
      </c>
      <c r="D6" s="41">
        <v>30708</v>
      </c>
      <c r="E6" s="42">
        <f>E40+E37-E20-E7-E9-E10</f>
        <v>-49092.59917159719</v>
      </c>
      <c r="F6" s="42">
        <f>F40+F37-F20-F7-F9-F10</f>
        <v>-88144.467114204162</v>
      </c>
      <c r="G6" s="42">
        <f>G40+G37-G20-G7-G9-G10</f>
        <v>-86182.398250776227</v>
      </c>
      <c r="H6" s="42">
        <f>H40+H37-H20-H7-H9-H10</f>
        <v>-44152.686393557786</v>
      </c>
      <c r="I6" s="42">
        <f>I40+I37-I20-I7-I9-I10</f>
        <v>31898.687392389609</v>
      </c>
      <c r="K6" s="20" t="s">
        <v>304</v>
      </c>
    </row>
    <row r="7" spans="1:11" x14ac:dyDescent="0.15">
      <c r="A7" s="47" t="s">
        <v>305</v>
      </c>
      <c r="B7" s="41">
        <v>86868</v>
      </c>
      <c r="C7" s="41">
        <v>72191</v>
      </c>
      <c r="D7" s="41">
        <v>96135</v>
      </c>
      <c r="E7" s="42">
        <f>D7*1.05</f>
        <v>100941.75</v>
      </c>
      <c r="F7" s="42">
        <f>E7*1.05</f>
        <v>105988.83750000001</v>
      </c>
      <c r="G7" s="42">
        <f>F7*1.05</f>
        <v>111288.27937500001</v>
      </c>
      <c r="H7" s="42">
        <f>G7*1.05</f>
        <v>116852.69334375001</v>
      </c>
      <c r="I7" s="42">
        <f>H7*1.05</f>
        <v>122695.32801093752</v>
      </c>
      <c r="K7" s="20" t="s">
        <v>306</v>
      </c>
    </row>
    <row r="8" spans="1:11" x14ac:dyDescent="0.15">
      <c r="A8" s="7" t="s">
        <v>307</v>
      </c>
      <c r="B8" s="41">
        <v>110916</v>
      </c>
      <c r="C8" s="41">
        <v>95657</v>
      </c>
      <c r="D8" s="41">
        <v>126843</v>
      </c>
      <c r="E8" s="42">
        <f>E6+E7</f>
        <v>51849.15082840281</v>
      </c>
      <c r="F8" s="42">
        <f>F6+F7</f>
        <v>17844.370385795846</v>
      </c>
      <c r="G8" s="42">
        <f>G6+G7</f>
        <v>25105.881124223786</v>
      </c>
      <c r="H8" s="42">
        <f>H6+H7</f>
        <v>72700.006950192226</v>
      </c>
      <c r="I8" s="42">
        <f>I6+I7</f>
        <v>154594.01540332712</v>
      </c>
      <c r="K8" s="20" t="s">
        <v>308</v>
      </c>
    </row>
    <row r="9" spans="1:11" x14ac:dyDescent="0.15">
      <c r="A9" s="47" t="s">
        <v>309</v>
      </c>
      <c r="B9" s="41">
        <v>40300</v>
      </c>
      <c r="C9" s="41">
        <v>52340</v>
      </c>
      <c r="D9" s="41">
        <v>62886</v>
      </c>
      <c r="E9" s="42">
        <f>Consolidated_PL!E5*Assumptions!$I$84/365</f>
        <v>69521.955890410958</v>
      </c>
      <c r="F9" s="42">
        <f>Consolidated_PL!F5*Assumptions!$I$84/365</f>
        <v>78249.613019178083</v>
      </c>
      <c r="G9" s="42">
        <f>Consolidated_PL!G5*Assumptions!$I$84/365</f>
        <v>87217.732182493157</v>
      </c>
      <c r="H9" s="42">
        <f>Consolidated_PL!H5*Assumptions!$I$84/365</f>
        <v>96006.665326358649</v>
      </c>
      <c r="I9" s="42">
        <f>Consolidated_PL!I5*Assumptions!$I$84/365</f>
        <v>104437.95714948533</v>
      </c>
      <c r="K9" s="20" t="s">
        <v>310</v>
      </c>
    </row>
    <row r="10" spans="1:11" x14ac:dyDescent="0.15">
      <c r="A10" s="47" t="s">
        <v>311</v>
      </c>
      <c r="B10" s="41">
        <v>12200</v>
      </c>
      <c r="C10" s="41">
        <v>15714</v>
      </c>
      <c r="D10" s="41">
        <v>16309</v>
      </c>
      <c r="E10" s="42">
        <f>Consolidated_PL!E5*0.04</f>
        <v>18454.9192</v>
      </c>
      <c r="F10" s="42">
        <f>Consolidated_PL!F5*0.04</f>
        <v>20771.715456000002</v>
      </c>
      <c r="G10" s="42">
        <f>Consolidated_PL!G5*0.04</f>
        <v>23152.34345208</v>
      </c>
      <c r="H10" s="42">
        <f>Consolidated_PL!H5*0.04</f>
        <v>25485.405704815203</v>
      </c>
      <c r="I10" s="42">
        <f>Consolidated_PL!I5*0.04</f>
        <v>27723.530443317923</v>
      </c>
      <c r="K10" s="20" t="s">
        <v>312</v>
      </c>
    </row>
    <row r="11" spans="1:11" x14ac:dyDescent="0.15">
      <c r="A11" s="43" t="s">
        <v>313</v>
      </c>
      <c r="B11" s="44">
        <f t="shared" ref="B11:I11" si="0">B8+B9+B10</f>
        <v>163416</v>
      </c>
      <c r="C11" s="44">
        <f t="shared" si="0"/>
        <v>163711</v>
      </c>
      <c r="D11" s="44">
        <f t="shared" si="0"/>
        <v>206038</v>
      </c>
      <c r="E11" s="44">
        <f t="shared" si="0"/>
        <v>139826.02591881377</v>
      </c>
      <c r="F11" s="44">
        <f t="shared" si="0"/>
        <v>116865.69886097393</v>
      </c>
      <c r="G11" s="44">
        <f t="shared" si="0"/>
        <v>135475.95675879694</v>
      </c>
      <c r="H11" s="44">
        <f t="shared" si="0"/>
        <v>194192.07798136608</v>
      </c>
      <c r="I11" s="44">
        <f t="shared" si="0"/>
        <v>286755.50299613038</v>
      </c>
    </row>
    <row r="13" spans="1:11" x14ac:dyDescent="0.15">
      <c r="A13" s="63" t="s">
        <v>314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1:11" x14ac:dyDescent="0.15">
      <c r="A14" s="47" t="s">
        <v>315</v>
      </c>
      <c r="B14" s="41">
        <v>31008</v>
      </c>
      <c r="C14" s="41">
        <v>37982</v>
      </c>
      <c r="D14" s="41">
        <v>68687</v>
      </c>
      <c r="E14" s="42">
        <f>D14*(1+Assumptions!$I$91)</f>
        <v>78990.049999999988</v>
      </c>
      <c r="F14" s="42">
        <f>E14*(1+Assumptions!$I$91)</f>
        <v>90838.557499999981</v>
      </c>
      <c r="G14" s="42">
        <f>F14*(1+Assumptions!$I$91)</f>
        <v>104464.34112499996</v>
      </c>
      <c r="H14" s="42">
        <f>G14*(1+Assumptions!$I$91)</f>
        <v>120133.99229374995</v>
      </c>
      <c r="I14" s="42">
        <f>H14*(1+Assumptions!$I$91)</f>
        <v>138154.09113781244</v>
      </c>
      <c r="K14" s="20" t="s">
        <v>316</v>
      </c>
    </row>
    <row r="15" spans="1:11" x14ac:dyDescent="0.15">
      <c r="A15" s="47" t="s">
        <v>317</v>
      </c>
      <c r="B15" s="41">
        <v>12270</v>
      </c>
      <c r="C15" s="41">
        <v>17180</v>
      </c>
      <c r="D15" s="41">
        <v>9113</v>
      </c>
      <c r="E15" s="42">
        <v>9000</v>
      </c>
      <c r="F15" s="42">
        <v>9000</v>
      </c>
      <c r="G15" s="42">
        <v>9000</v>
      </c>
      <c r="H15" s="42">
        <v>9000</v>
      </c>
      <c r="I15" s="42">
        <v>9000</v>
      </c>
      <c r="K15" s="20"/>
    </row>
    <row r="16" spans="1:11" x14ac:dyDescent="0.15">
      <c r="A16" s="47" t="s">
        <v>318</v>
      </c>
      <c r="B16" s="41">
        <v>134345</v>
      </c>
      <c r="C16" s="41">
        <v>171036</v>
      </c>
      <c r="D16" s="41">
        <v>246597</v>
      </c>
      <c r="E16" s="42">
        <f>D16+Assumptions!$I$72-Consolidated_PL!E37</f>
        <v>401221.48609999998</v>
      </c>
      <c r="F16" s="42">
        <f>E16+Assumptions!$I$73-Consolidated_PL!F37</f>
        <v>532660.37734799995</v>
      </c>
      <c r="G16" s="42">
        <f>F16+Assumptions!$I$74-Consolidated_PL!G37</f>
        <v>640825.90510138997</v>
      </c>
      <c r="H16" s="42">
        <f>G16+Assumptions!$I$75-Consolidated_PL!H37</f>
        <v>725783.47225726908</v>
      </c>
      <c r="I16" s="42">
        <f>H16+Assumptions!$I$76-Consolidated_PL!I37</f>
        <v>792663.61789770692</v>
      </c>
      <c r="K16" s="20" t="s">
        <v>319</v>
      </c>
    </row>
    <row r="17" spans="1:11" x14ac:dyDescent="0.15">
      <c r="A17" s="47" t="s">
        <v>320</v>
      </c>
      <c r="B17" s="41">
        <v>14253</v>
      </c>
      <c r="C17" s="41">
        <v>13588</v>
      </c>
      <c r="D17" s="41">
        <v>15221</v>
      </c>
      <c r="E17" s="42">
        <f>D17*(1+Assumptions!$I$90)</f>
        <v>15982.050000000001</v>
      </c>
      <c r="F17" s="42">
        <f>E17*(1+Assumptions!$I$90)</f>
        <v>16781.1525</v>
      </c>
      <c r="G17" s="42">
        <f>F17*(1+Assumptions!$I$90)</f>
        <v>17620.210125000001</v>
      </c>
      <c r="H17" s="42">
        <f>G17*(1+Assumptions!$I$90)</f>
        <v>18501.220631250002</v>
      </c>
      <c r="I17" s="42">
        <f>H17*(1+Assumptions!$I$90)</f>
        <v>19426.281662812504</v>
      </c>
      <c r="K17" s="20" t="s">
        <v>193</v>
      </c>
    </row>
    <row r="18" spans="1:11" x14ac:dyDescent="0.15">
      <c r="A18" s="47" t="s">
        <v>321</v>
      </c>
      <c r="B18" s="41">
        <v>29198</v>
      </c>
      <c r="C18" s="41">
        <v>31885</v>
      </c>
      <c r="D18" s="41">
        <v>33380</v>
      </c>
      <c r="E18" s="42">
        <f>D18*1.02</f>
        <v>34047.599999999999</v>
      </c>
      <c r="F18" s="42">
        <f>E18*1.02</f>
        <v>34728.551999999996</v>
      </c>
      <c r="G18" s="42">
        <f>F18*1.02</f>
        <v>35423.123039999999</v>
      </c>
      <c r="H18" s="42">
        <f>G18*1.02</f>
        <v>36131.5855008</v>
      </c>
      <c r="I18" s="42">
        <f>H18*1.02</f>
        <v>36854.217210816001</v>
      </c>
      <c r="K18" s="20" t="s">
        <v>322</v>
      </c>
    </row>
    <row r="19" spans="1:11" x14ac:dyDescent="0.15">
      <c r="A19" s="47" t="s">
        <v>323</v>
      </c>
      <c r="B19" s="41">
        <v>16902</v>
      </c>
      <c r="C19" s="41">
        <v>14874</v>
      </c>
      <c r="D19" s="41">
        <v>16245</v>
      </c>
      <c r="E19" s="42">
        <f>D19*1.03</f>
        <v>16732.350000000002</v>
      </c>
      <c r="F19" s="42">
        <f>E19*1.03</f>
        <v>17234.320500000002</v>
      </c>
      <c r="G19" s="42">
        <f>F19*1.03</f>
        <v>17751.350115000001</v>
      </c>
      <c r="H19" s="42">
        <f>G19*1.03</f>
        <v>18283.890618450001</v>
      </c>
      <c r="I19" s="42">
        <f>H19*1.03</f>
        <v>18832.4073370035</v>
      </c>
      <c r="K19" s="20" t="s">
        <v>324</v>
      </c>
    </row>
    <row r="20" spans="1:11" x14ac:dyDescent="0.15">
      <c r="A20" s="43" t="s">
        <v>325</v>
      </c>
      <c r="B20" s="44">
        <f t="shared" ref="B20:I20" si="1">B14+B15+B16+B17+B18+B19</f>
        <v>237976</v>
      </c>
      <c r="C20" s="44">
        <f t="shared" si="1"/>
        <v>286545</v>
      </c>
      <c r="D20" s="44">
        <f t="shared" si="1"/>
        <v>389243</v>
      </c>
      <c r="E20" s="44">
        <f t="shared" si="1"/>
        <v>555973.53609999991</v>
      </c>
      <c r="F20" s="44">
        <f t="shared" si="1"/>
        <v>701242.95984799997</v>
      </c>
      <c r="G20" s="44">
        <f t="shared" si="1"/>
        <v>825084.92950638989</v>
      </c>
      <c r="H20" s="44">
        <f t="shared" si="1"/>
        <v>927834.16130151902</v>
      </c>
      <c r="I20" s="44">
        <f t="shared" si="1"/>
        <v>1014930.6152461513</v>
      </c>
    </row>
    <row r="21" spans="1:11" x14ac:dyDescent="0.15">
      <c r="A21" s="45" t="s">
        <v>326</v>
      </c>
      <c r="B21" s="46">
        <f t="shared" ref="B21:I21" si="2">B11+B20</f>
        <v>401392</v>
      </c>
      <c r="C21" s="46">
        <f t="shared" si="2"/>
        <v>450256</v>
      </c>
      <c r="D21" s="46">
        <f t="shared" si="2"/>
        <v>595281</v>
      </c>
      <c r="E21" s="46">
        <f t="shared" si="2"/>
        <v>695799.56201881368</v>
      </c>
      <c r="F21" s="46">
        <f t="shared" si="2"/>
        <v>818108.6587089739</v>
      </c>
      <c r="G21" s="46">
        <f t="shared" si="2"/>
        <v>960560.88626518683</v>
      </c>
      <c r="H21" s="46">
        <f t="shared" si="2"/>
        <v>1122026.2392828851</v>
      </c>
      <c r="I21" s="46">
        <f t="shared" si="2"/>
        <v>1301686.1182422817</v>
      </c>
    </row>
    <row r="23" spans="1:11" x14ac:dyDescent="0.15">
      <c r="A23" s="63" t="s">
        <v>327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1:11" x14ac:dyDescent="0.15">
      <c r="A24" s="47" t="s">
        <v>328</v>
      </c>
      <c r="B24" s="41">
        <v>7100</v>
      </c>
      <c r="C24" s="41">
        <v>7987</v>
      </c>
      <c r="D24" s="41">
        <v>12200</v>
      </c>
      <c r="E24" s="42">
        <f>Consolidated_PL!E14*Assumptions!$I$85/365</f>
        <v>12870.450263013698</v>
      </c>
      <c r="F24" s="42">
        <f>Consolidated_PL!F14*Assumptions!$I$85/365</f>
        <v>14330.521213369864</v>
      </c>
      <c r="G24" s="42">
        <f>Consolidated_PL!G14*Assumptions!$I$85/365</f>
        <v>15814.425542118906</v>
      </c>
      <c r="H24" s="42">
        <f>Consolidated_PL!H14*Assumptions!$I$85/365</f>
        <v>17265.425205035197</v>
      </c>
      <c r="I24" s="42">
        <f>Consolidated_PL!I14*Assumptions!$I$85/365</f>
        <v>18657.031363767641</v>
      </c>
      <c r="K24" s="20" t="s">
        <v>329</v>
      </c>
    </row>
    <row r="25" spans="1:11" x14ac:dyDescent="0.15">
      <c r="A25" s="47" t="s">
        <v>330</v>
      </c>
      <c r="B25" s="41">
        <v>14200</v>
      </c>
      <c r="C25" s="41">
        <v>15069</v>
      </c>
      <c r="D25" s="41">
        <v>17546</v>
      </c>
      <c r="E25" s="42">
        <f>Consolidated_PL!E5*Assumptions!$I$86</f>
        <v>19839.038140000001</v>
      </c>
      <c r="F25" s="42">
        <f>Consolidated_PL!F5*Assumptions!$I$86</f>
        <v>22329.594115199998</v>
      </c>
      <c r="G25" s="42">
        <f>Consolidated_PL!G5*Assumptions!$I$86</f>
        <v>24888.769210985996</v>
      </c>
      <c r="H25" s="42">
        <f>Consolidated_PL!H5*Assumptions!$I$86</f>
        <v>27396.811132676339</v>
      </c>
      <c r="I25" s="42">
        <f>Consolidated_PL!I5*Assumptions!$I$86</f>
        <v>29802.795226566766</v>
      </c>
      <c r="K25" s="20" t="s">
        <v>331</v>
      </c>
    </row>
    <row r="26" spans="1:11" x14ac:dyDescent="0.15">
      <c r="A26" s="47" t="s">
        <v>332</v>
      </c>
      <c r="B26" s="41">
        <v>43000</v>
      </c>
      <c r="C26" s="41">
        <v>51228</v>
      </c>
      <c r="D26" s="41">
        <v>55557</v>
      </c>
      <c r="E26" s="42">
        <f>Consolidated_PL!E5*Assumptions!$I$87</f>
        <v>62285.352300000006</v>
      </c>
      <c r="F26" s="42">
        <f>Consolidated_PL!F5*Assumptions!$I$87</f>
        <v>70104.539664000011</v>
      </c>
      <c r="G26" s="42">
        <f>Consolidated_PL!G5*Assumptions!$I$87</f>
        <v>78139.159150770007</v>
      </c>
      <c r="H26" s="42">
        <f>Consolidated_PL!H5*Assumptions!$I$87</f>
        <v>86013.244253751312</v>
      </c>
      <c r="I26" s="42">
        <f>Consolidated_PL!I5*Assumptions!$I$87</f>
        <v>93566.915246197997</v>
      </c>
      <c r="K26" s="20" t="s">
        <v>333</v>
      </c>
    </row>
    <row r="27" spans="1:11" x14ac:dyDescent="0.15">
      <c r="A27" s="47" t="s">
        <v>334</v>
      </c>
      <c r="B27" s="41">
        <v>8743</v>
      </c>
      <c r="C27" s="41">
        <v>9802</v>
      </c>
      <c r="D27" s="41">
        <v>10864</v>
      </c>
      <c r="E27" s="42">
        <f>Segment_Revenue!E13*Assumptions!$I$88</f>
        <v>11760.85368</v>
      </c>
      <c r="F27" s="42">
        <f>Segment_Revenue!F13*Assumptions!$I$88</f>
        <v>12843.944870400001</v>
      </c>
      <c r="G27" s="42">
        <f>Segment_Revenue!G13*Assumptions!$I$88</f>
        <v>13915.450467072002</v>
      </c>
      <c r="H27" s="42">
        <f>Segment_Revenue!H13*Assumptions!$I$88</f>
        <v>14957.319965575683</v>
      </c>
      <c r="I27" s="42">
        <f>Segment_Revenue!I13*Assumptions!$I$88</f>
        <v>15955.911351249411</v>
      </c>
      <c r="K27" s="20" t="s">
        <v>335</v>
      </c>
    </row>
    <row r="28" spans="1:11" x14ac:dyDescent="0.15">
      <c r="A28" s="47" t="s">
        <v>336</v>
      </c>
      <c r="B28" s="41">
        <v>3993</v>
      </c>
      <c r="C28" s="41">
        <v>5036</v>
      </c>
      <c r="D28" s="41">
        <v>6578</v>
      </c>
      <c r="E28" s="42">
        <f>D28*(1+Assumptions!$I$89)</f>
        <v>7564.7</v>
      </c>
      <c r="F28" s="42">
        <f>E28*(1+Assumptions!$I$89)</f>
        <v>8699.4049999999988</v>
      </c>
      <c r="G28" s="42">
        <f>F28*(1+Assumptions!$I$89)</f>
        <v>10004.315749999998</v>
      </c>
      <c r="H28" s="42">
        <f>G28*(1+Assumptions!$I$89)</f>
        <v>11504.963112499996</v>
      </c>
      <c r="I28" s="42">
        <f>H28*(1+Assumptions!$I$89)</f>
        <v>13230.707579374994</v>
      </c>
      <c r="K28" s="20" t="s">
        <v>191</v>
      </c>
    </row>
    <row r="29" spans="1:11" x14ac:dyDescent="0.15">
      <c r="A29" s="43" t="s">
        <v>337</v>
      </c>
      <c r="B29" s="44">
        <f t="shared" ref="B29:I29" si="3">B24+B25+B26+B27+B28</f>
        <v>77036</v>
      </c>
      <c r="C29" s="44">
        <f t="shared" si="3"/>
        <v>89122</v>
      </c>
      <c r="D29" s="44">
        <f t="shared" si="3"/>
        <v>102745</v>
      </c>
      <c r="E29" s="44">
        <f t="shared" si="3"/>
        <v>114320.3943830137</v>
      </c>
      <c r="F29" s="44">
        <f t="shared" si="3"/>
        <v>128308.00486296987</v>
      </c>
      <c r="G29" s="44">
        <f t="shared" si="3"/>
        <v>142762.1201209469</v>
      </c>
      <c r="H29" s="44">
        <f t="shared" si="3"/>
        <v>157137.76366953854</v>
      </c>
      <c r="I29" s="44">
        <f t="shared" si="3"/>
        <v>171213.36076715679</v>
      </c>
    </row>
    <row r="31" spans="1:11" x14ac:dyDescent="0.15">
      <c r="A31" s="63" t="s">
        <v>338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1" x14ac:dyDescent="0.15">
      <c r="A32" s="47" t="s">
        <v>339</v>
      </c>
      <c r="B32" s="41">
        <v>12887</v>
      </c>
      <c r="C32" s="41">
        <v>10883</v>
      </c>
      <c r="D32" s="41">
        <v>46547</v>
      </c>
      <c r="E32" s="42">
        <f>Assumptions!$I$22</f>
        <v>46547</v>
      </c>
      <c r="F32" s="42">
        <f>Assumptions!$I$22</f>
        <v>46547</v>
      </c>
      <c r="G32" s="42">
        <f>Assumptions!$I$22</f>
        <v>46547</v>
      </c>
      <c r="H32" s="42">
        <f>Assumptions!$I$22</f>
        <v>46547</v>
      </c>
      <c r="I32" s="42">
        <f>Assumptions!$I$22</f>
        <v>46547</v>
      </c>
      <c r="K32" s="20" t="s">
        <v>340</v>
      </c>
    </row>
    <row r="33" spans="1:11" x14ac:dyDescent="0.15">
      <c r="A33" s="47" t="s">
        <v>341</v>
      </c>
      <c r="B33" s="41">
        <v>8049</v>
      </c>
      <c r="C33" s="41">
        <v>8782</v>
      </c>
      <c r="D33" s="41">
        <v>9531</v>
      </c>
      <c r="E33" s="42">
        <f>D33*1.03</f>
        <v>9816.93</v>
      </c>
      <c r="F33" s="42">
        <f>E33*1.03</f>
        <v>10111.437900000001</v>
      </c>
      <c r="G33" s="42">
        <f>F33*1.03</f>
        <v>10414.781037000001</v>
      </c>
      <c r="H33" s="42">
        <f>G33*1.03</f>
        <v>10727.22446811</v>
      </c>
      <c r="I33" s="42">
        <f>H33*1.03</f>
        <v>11049.041202153301</v>
      </c>
      <c r="K33" s="20"/>
    </row>
    <row r="34" spans="1:11" x14ac:dyDescent="0.15">
      <c r="A34" s="47" t="s">
        <v>342</v>
      </c>
      <c r="B34" s="41">
        <v>10989</v>
      </c>
      <c r="C34" s="41">
        <v>11691</v>
      </c>
      <c r="D34" s="41">
        <v>12744</v>
      </c>
      <c r="E34" s="42">
        <f>E17*0.84</f>
        <v>13424.922</v>
      </c>
      <c r="F34" s="42">
        <f>F17*0.84</f>
        <v>14096.168099999999</v>
      </c>
      <c r="G34" s="42">
        <f>G17*0.84</f>
        <v>14800.976505000001</v>
      </c>
      <c r="H34" s="42">
        <f>H17*0.84</f>
        <v>15541.02533025</v>
      </c>
      <c r="I34" s="42">
        <f>I17*0.84</f>
        <v>16318.076596762503</v>
      </c>
      <c r="K34" s="20" t="s">
        <v>343</v>
      </c>
    </row>
    <row r="35" spans="1:11" x14ac:dyDescent="0.15">
      <c r="A35" s="47" t="s">
        <v>344</v>
      </c>
      <c r="B35" s="41">
        <v>9052</v>
      </c>
      <c r="C35" s="41">
        <v>4694</v>
      </c>
      <c r="D35" s="41">
        <v>8449</v>
      </c>
      <c r="E35" s="42">
        <f>D35*1.05</f>
        <v>8871.4500000000007</v>
      </c>
      <c r="F35" s="42">
        <f>E35*1.05</f>
        <v>9315.0225000000009</v>
      </c>
      <c r="G35" s="42">
        <f>F35*1.05</f>
        <v>9780.7736250000016</v>
      </c>
      <c r="H35" s="42">
        <f>G35*1.05</f>
        <v>10269.812306250002</v>
      </c>
      <c r="I35" s="42">
        <f>H35*1.05</f>
        <v>10783.302921562503</v>
      </c>
      <c r="K35" s="20"/>
    </row>
    <row r="36" spans="1:11" x14ac:dyDescent="0.15">
      <c r="A36" s="7" t="s">
        <v>345</v>
      </c>
      <c r="B36" s="42">
        <f t="shared" ref="B36:I36" si="4">B32+B33+B34+B35</f>
        <v>40977</v>
      </c>
      <c r="C36" s="42">
        <f t="shared" si="4"/>
        <v>36050</v>
      </c>
      <c r="D36" s="42">
        <f t="shared" si="4"/>
        <v>77271</v>
      </c>
      <c r="E36" s="42">
        <f t="shared" si="4"/>
        <v>78660.301999999996</v>
      </c>
      <c r="F36" s="42">
        <f t="shared" si="4"/>
        <v>80069.628500000006</v>
      </c>
      <c r="G36" s="42">
        <f t="shared" si="4"/>
        <v>81543.531167000008</v>
      </c>
      <c r="H36" s="42">
        <f t="shared" si="4"/>
        <v>83085.062104609999</v>
      </c>
      <c r="I36" s="42">
        <f t="shared" si="4"/>
        <v>84697.420720478302</v>
      </c>
    </row>
    <row r="37" spans="1:11" x14ac:dyDescent="0.15">
      <c r="A37" s="43" t="s">
        <v>346</v>
      </c>
      <c r="B37" s="44">
        <f t="shared" ref="B37:I37" si="5">B29+B36</f>
        <v>118013</v>
      </c>
      <c r="C37" s="44">
        <f t="shared" si="5"/>
        <v>125172</v>
      </c>
      <c r="D37" s="44">
        <f t="shared" si="5"/>
        <v>180016</v>
      </c>
      <c r="E37" s="44">
        <f t="shared" si="5"/>
        <v>192980.69638301368</v>
      </c>
      <c r="F37" s="44">
        <f t="shared" si="5"/>
        <v>208377.63336296988</v>
      </c>
      <c r="G37" s="44">
        <f t="shared" si="5"/>
        <v>224305.65128794691</v>
      </c>
      <c r="H37" s="44">
        <f t="shared" si="5"/>
        <v>240222.82577414854</v>
      </c>
      <c r="I37" s="44">
        <f t="shared" si="5"/>
        <v>255910.7814876351</v>
      </c>
    </row>
    <row r="39" spans="1:11" x14ac:dyDescent="0.15">
      <c r="A39" s="63" t="s">
        <v>347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</row>
    <row r="40" spans="1:11" x14ac:dyDescent="0.15">
      <c r="A40" s="45" t="s">
        <v>348</v>
      </c>
      <c r="B40" s="53">
        <v>283379</v>
      </c>
      <c r="C40" s="53">
        <v>325084</v>
      </c>
      <c r="D40" s="53">
        <v>415265</v>
      </c>
      <c r="E40" s="46">
        <f>D40+Consolidated_PL!E33-Assumptions!$I$79-Assumptions!$I$80*Consolidated_PL!E40+Consolidated_PL!E38*0.5</f>
        <v>502818.8656358</v>
      </c>
      <c r="F40" s="46">
        <f>E40+Consolidated_PL!F33-Assumptions!$I$79-Assumptions!$I$80*Consolidated_PL!F40+Consolidated_PL!F38*0.5</f>
        <v>609731.02534600405</v>
      </c>
      <c r="G40" s="46">
        <f>F40+Consolidated_PL!G33-Assumptions!$I$79-Assumptions!$I$80*Consolidated_PL!G40+Consolidated_PL!G38*0.5</f>
        <v>736255.23497723986</v>
      </c>
      <c r="H40" s="46">
        <f>G40+Consolidated_PL!H33-Assumptions!$I$79-Assumptions!$I$80*Consolidated_PL!H40+Consolidated_PL!H38*0.5</f>
        <v>881803.41350873664</v>
      </c>
      <c r="I40" s="46">
        <f>H40+Consolidated_PL!I33-Assumptions!$I$79-Assumptions!$I$80*Consolidated_PL!I40+Consolidated_PL!I38*0.5</f>
        <v>1045775.3367546466</v>
      </c>
      <c r="K40" s="20" t="s">
        <v>349</v>
      </c>
    </row>
    <row r="42" spans="1:11" x14ac:dyDescent="0.15">
      <c r="A42" s="45" t="s">
        <v>350</v>
      </c>
      <c r="B42" s="46">
        <f t="shared" ref="B42:I42" si="6">B37+B40</f>
        <v>401392</v>
      </c>
      <c r="C42" s="46">
        <f t="shared" si="6"/>
        <v>450256</v>
      </c>
      <c r="D42" s="46">
        <f t="shared" si="6"/>
        <v>595281</v>
      </c>
      <c r="E42" s="46">
        <f t="shared" si="6"/>
        <v>695799.56201881368</v>
      </c>
      <c r="F42" s="46">
        <f t="shared" si="6"/>
        <v>818108.6587089739</v>
      </c>
      <c r="G42" s="46">
        <f t="shared" si="6"/>
        <v>960560.88626518683</v>
      </c>
      <c r="H42" s="46">
        <f t="shared" si="6"/>
        <v>1122026.2392828851</v>
      </c>
      <c r="I42" s="46">
        <f t="shared" si="6"/>
        <v>1301686.1182422817</v>
      </c>
    </row>
    <row r="43" spans="1:11" x14ac:dyDescent="0.15">
      <c r="A43" s="48" t="s">
        <v>351</v>
      </c>
      <c r="B43" s="49">
        <f t="shared" ref="B43:I43" si="7">B21-B42</f>
        <v>0</v>
      </c>
      <c r="C43" s="49">
        <f t="shared" si="7"/>
        <v>0</v>
      </c>
      <c r="D43" s="49">
        <f t="shared" si="7"/>
        <v>0</v>
      </c>
      <c r="E43" s="49">
        <f t="shared" si="7"/>
        <v>0</v>
      </c>
      <c r="F43" s="49">
        <f t="shared" si="7"/>
        <v>0</v>
      </c>
      <c r="G43" s="49">
        <f t="shared" si="7"/>
        <v>0</v>
      </c>
      <c r="H43" s="49">
        <f t="shared" si="7"/>
        <v>0</v>
      </c>
      <c r="I43" s="49">
        <f t="shared" si="7"/>
        <v>0</v>
      </c>
      <c r="K43" s="20" t="s">
        <v>352</v>
      </c>
    </row>
    <row r="46" spans="1:11" x14ac:dyDescent="0.15">
      <c r="A46" s="15" t="s">
        <v>67</v>
      </c>
    </row>
    <row r="47" spans="1:11" x14ac:dyDescent="0.15">
      <c r="A47" s="14" t="s">
        <v>68</v>
      </c>
    </row>
    <row r="48" spans="1:11" x14ac:dyDescent="0.15">
      <c r="A48" s="14" t="s">
        <v>69</v>
      </c>
    </row>
    <row r="49" spans="1:1" x14ac:dyDescent="0.15">
      <c r="A49" s="14" t="s">
        <v>70</v>
      </c>
    </row>
    <row r="50" spans="1:1" x14ac:dyDescent="0.15">
      <c r="A50" s="14" t="s">
        <v>71</v>
      </c>
    </row>
    <row r="51" spans="1:1" x14ac:dyDescent="0.15">
      <c r="A51" s="14" t="s">
        <v>72</v>
      </c>
    </row>
    <row r="53" spans="1:1" x14ac:dyDescent="0.15">
      <c r="A53" s="15" t="s">
        <v>73</v>
      </c>
    </row>
    <row r="54" spans="1:1" x14ac:dyDescent="0.15">
      <c r="A54" s="14" t="s">
        <v>74</v>
      </c>
    </row>
    <row r="55" spans="1:1" x14ac:dyDescent="0.15">
      <c r="A55" s="14" t="s">
        <v>75</v>
      </c>
    </row>
    <row r="56" spans="1:1" x14ac:dyDescent="0.15">
      <c r="A56" s="14" t="s">
        <v>76</v>
      </c>
    </row>
    <row r="57" spans="1:1" x14ac:dyDescent="0.15">
      <c r="A57" s="14" t="s">
        <v>77</v>
      </c>
    </row>
  </sheetData>
  <mergeCells count="5">
    <mergeCell ref="A39:K39"/>
    <mergeCell ref="A13:K13"/>
    <mergeCell ref="A5:K5"/>
    <mergeCell ref="A23:K23"/>
    <mergeCell ref="A31:K31"/>
  </mergeCells>
  <phoneticPr fontId="1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5"/>
  <sheetViews>
    <sheetView workbookViewId="0">
      <pane xSplit="1" ySplit="3" topLeftCell="B4" activePane="bottomRight" state="frozen"/>
      <selection pane="topRight"/>
      <selection pane="bottomLeft"/>
      <selection pane="bottomRight" activeCell="F23" sqref="F23"/>
    </sheetView>
  </sheetViews>
  <sheetFormatPr defaultRowHeight="13.5" x14ac:dyDescent="0.15"/>
  <cols>
    <col min="1" max="1" width="44" customWidth="1"/>
    <col min="2" max="10" width="15" customWidth="1"/>
    <col min="11" max="11" width="38" customWidth="1"/>
  </cols>
  <sheetData>
    <row r="1" spans="1:11" ht="18.75" x14ac:dyDescent="0.25">
      <c r="A1" s="4" t="s">
        <v>353</v>
      </c>
    </row>
    <row r="2" spans="1:11" x14ac:dyDescent="0.15">
      <c r="A2" s="5" t="s">
        <v>354</v>
      </c>
    </row>
    <row r="3" spans="1:11" x14ac:dyDescent="0.15">
      <c r="A3" s="40"/>
      <c r="B3" s="6">
        <v>2023</v>
      </c>
      <c r="C3" s="6">
        <v>2024</v>
      </c>
      <c r="D3" s="6">
        <v>2025</v>
      </c>
      <c r="E3" s="6" t="s">
        <v>31</v>
      </c>
      <c r="F3" s="6" t="s">
        <v>32</v>
      </c>
      <c r="G3" s="6" t="s">
        <v>33</v>
      </c>
      <c r="H3" s="6" t="s">
        <v>114</v>
      </c>
      <c r="I3" s="6" t="s">
        <v>115</v>
      </c>
      <c r="K3" s="6" t="s">
        <v>85</v>
      </c>
    </row>
    <row r="5" spans="1:11" x14ac:dyDescent="0.15">
      <c r="A5" s="63" t="s">
        <v>355</v>
      </c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x14ac:dyDescent="0.15">
      <c r="A6" s="47" t="s">
        <v>289</v>
      </c>
      <c r="B6" s="41">
        <v>73795</v>
      </c>
      <c r="C6" s="41">
        <v>100118</v>
      </c>
      <c r="D6" s="41">
        <v>132170</v>
      </c>
      <c r="E6" s="8">
        <f>Consolidated_PL!E33</f>
        <v>134721.20121579999</v>
      </c>
      <c r="F6" s="8">
        <f>Consolidated_PL!F33</f>
        <v>152188.87496460401</v>
      </c>
      <c r="G6" s="8">
        <f>Consolidated_PL!G33</f>
        <v>169868.24540927773</v>
      </c>
      <c r="H6" s="8">
        <f>Consolidated_PL!H33</f>
        <v>186998.15448068985</v>
      </c>
      <c r="I6" s="8">
        <f>Consolidated_PL!I33</f>
        <v>203600.72085798471</v>
      </c>
      <c r="K6" s="20" t="s">
        <v>36</v>
      </c>
    </row>
    <row r="7" spans="1:11" x14ac:dyDescent="0.15">
      <c r="A7" s="47" t="s">
        <v>356</v>
      </c>
      <c r="B7" s="41">
        <v>11946</v>
      </c>
      <c r="C7" s="41">
        <v>15311</v>
      </c>
      <c r="D7" s="41">
        <v>21136</v>
      </c>
      <c r="E7" s="8">
        <f>Consolidated_PL!E37</f>
        <v>25375.513900000002</v>
      </c>
      <c r="F7" s="8">
        <f>Consolidated_PL!F37</f>
        <v>28561.108752</v>
      </c>
      <c r="G7" s="8">
        <f>Consolidated_PL!G37</f>
        <v>31834.472246609999</v>
      </c>
      <c r="H7" s="8">
        <f>Consolidated_PL!H37</f>
        <v>35042.4328441209</v>
      </c>
      <c r="I7" s="8">
        <f>Consolidated_PL!I37</f>
        <v>38119.854359562145</v>
      </c>
      <c r="K7" s="20" t="s">
        <v>357</v>
      </c>
    </row>
    <row r="8" spans="1:11" x14ac:dyDescent="0.15">
      <c r="A8" s="47" t="s">
        <v>358</v>
      </c>
      <c r="B8" s="41">
        <v>22460</v>
      </c>
      <c r="C8" s="41">
        <v>22785</v>
      </c>
      <c r="D8" s="41">
        <v>24953</v>
      </c>
      <c r="E8" s="8">
        <f>Consolidated_PL!E38</f>
        <v>26759.632840000002</v>
      </c>
      <c r="F8" s="8">
        <f>Consolidated_PL!F38</f>
        <v>30118.987411200003</v>
      </c>
      <c r="G8" s="8">
        <f>Consolidated_PL!G38</f>
        <v>33570.898005515999</v>
      </c>
      <c r="H8" s="8">
        <f>Consolidated_PL!H38</f>
        <v>36953.838271982044</v>
      </c>
      <c r="I8" s="8">
        <f>Consolidated_PL!I38</f>
        <v>40199.119142810989</v>
      </c>
      <c r="K8" s="20" t="s">
        <v>357</v>
      </c>
    </row>
    <row r="9" spans="1:11" x14ac:dyDescent="0.15">
      <c r="A9" s="47" t="s">
        <v>359</v>
      </c>
      <c r="B9" s="41">
        <v>-7763</v>
      </c>
      <c r="C9" s="41">
        <v>-5257</v>
      </c>
      <c r="D9" s="41">
        <v>8348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K9" s="20" t="s">
        <v>360</v>
      </c>
    </row>
    <row r="10" spans="1:11" x14ac:dyDescent="0.15">
      <c r="A10" s="47" t="s">
        <v>361</v>
      </c>
      <c r="B10" s="41">
        <v>823</v>
      </c>
      <c r="C10" s="41">
        <v>-2671</v>
      </c>
      <c r="D10" s="41">
        <v>-24620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K10" s="20" t="s">
        <v>362</v>
      </c>
    </row>
    <row r="11" spans="1:11" x14ac:dyDescent="0.15">
      <c r="A11" s="47" t="s">
        <v>363</v>
      </c>
      <c r="B11" s="41">
        <v>4330</v>
      </c>
      <c r="C11" s="41">
        <v>3419</v>
      </c>
      <c r="D11" s="41">
        <v>2108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K11" s="20" t="s">
        <v>364</v>
      </c>
    </row>
    <row r="12" spans="1:11" x14ac:dyDescent="0.15">
      <c r="A12" s="63" t="s">
        <v>365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</row>
    <row r="13" spans="1:11" x14ac:dyDescent="0.15">
      <c r="A13" s="47" t="s">
        <v>366</v>
      </c>
      <c r="B13" s="41">
        <v>-7833</v>
      </c>
      <c r="C13" s="41">
        <v>-5891</v>
      </c>
      <c r="D13" s="41">
        <v>-8779</v>
      </c>
      <c r="E13" s="42">
        <f>-(BS!E9-BS!D9)</f>
        <v>-6635.9558904109581</v>
      </c>
      <c r="F13" s="42">
        <f>-(BS!F9-BS!E9)</f>
        <v>-8727.657128767125</v>
      </c>
      <c r="G13" s="42">
        <f>-(BS!G9-BS!F9)</f>
        <v>-8968.1191633150738</v>
      </c>
      <c r="H13" s="42">
        <f>-(BS!H9-BS!G9)</f>
        <v>-8788.9331438654917</v>
      </c>
      <c r="I13" s="42">
        <f>-(BS!I9-BS!H9)</f>
        <v>-8431.2918231266813</v>
      </c>
      <c r="K13" s="20" t="s">
        <v>367</v>
      </c>
    </row>
    <row r="14" spans="1:11" x14ac:dyDescent="0.15">
      <c r="A14" s="47" t="s">
        <v>368</v>
      </c>
      <c r="B14" s="41">
        <v>523</v>
      </c>
      <c r="C14" s="41">
        <v>-2418</v>
      </c>
      <c r="D14" s="41">
        <v>-3226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K14" s="20"/>
    </row>
    <row r="15" spans="1:11" x14ac:dyDescent="0.15">
      <c r="A15" s="47" t="s">
        <v>369</v>
      </c>
      <c r="B15" s="41">
        <v>-2143</v>
      </c>
      <c r="C15" s="41">
        <v>-1397</v>
      </c>
      <c r="D15" s="41">
        <v>-4542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K15" s="20"/>
    </row>
    <row r="16" spans="1:11" x14ac:dyDescent="0.15">
      <c r="A16" s="47" t="s">
        <v>370</v>
      </c>
      <c r="B16" s="41">
        <v>664</v>
      </c>
      <c r="C16" s="41">
        <v>359</v>
      </c>
      <c r="D16" s="41">
        <v>907</v>
      </c>
      <c r="E16" s="42">
        <f>BS!E24-BS!D24</f>
        <v>670.45026301369762</v>
      </c>
      <c r="F16" s="42">
        <f>BS!F24-BS!E24</f>
        <v>1460.0709503561666</v>
      </c>
      <c r="G16" s="42">
        <f>BS!G24-BS!F24</f>
        <v>1483.9043287490422</v>
      </c>
      <c r="H16" s="42">
        <f>BS!H24-BS!G24</f>
        <v>1450.9996629162906</v>
      </c>
      <c r="I16" s="42">
        <f>BS!I24-BS!H24</f>
        <v>1391.6061587324439</v>
      </c>
      <c r="K16" s="20" t="s">
        <v>371</v>
      </c>
    </row>
    <row r="17" spans="1:11" x14ac:dyDescent="0.15">
      <c r="A17" s="47" t="s">
        <v>372</v>
      </c>
      <c r="B17" s="41">
        <v>3937</v>
      </c>
      <c r="C17" s="41">
        <v>-1161</v>
      </c>
      <c r="D17" s="41">
        <v>12939</v>
      </c>
      <c r="E17" s="42">
        <f>BS!E26-BS!D26</f>
        <v>6728.3523000000059</v>
      </c>
      <c r="F17" s="42">
        <f>BS!F26-BS!E26</f>
        <v>7819.1873640000049</v>
      </c>
      <c r="G17" s="42">
        <f>BS!G26-BS!F26</f>
        <v>8034.619486769996</v>
      </c>
      <c r="H17" s="42">
        <f>BS!H26-BS!G26</f>
        <v>7874.0851029813057</v>
      </c>
      <c r="I17" s="42">
        <f>BS!I26-BS!H26</f>
        <v>7553.670992446685</v>
      </c>
      <c r="K17" s="20"/>
    </row>
    <row r="18" spans="1:11" x14ac:dyDescent="0.15">
      <c r="A18" s="47" t="s">
        <v>373</v>
      </c>
      <c r="B18" s="41">
        <v>482</v>
      </c>
      <c r="C18" s="41">
        <v>1059</v>
      </c>
      <c r="D18" s="41">
        <v>899</v>
      </c>
      <c r="E18" s="42">
        <f>BS!E27-BS!D27</f>
        <v>896.85368000000017</v>
      </c>
      <c r="F18" s="42">
        <f>BS!F27-BS!E27</f>
        <v>1083.0911904000004</v>
      </c>
      <c r="G18" s="42">
        <f>BS!G27-BS!F27</f>
        <v>1071.505596672001</v>
      </c>
      <c r="H18" s="42">
        <f>BS!H27-BS!G27</f>
        <v>1041.8694985036818</v>
      </c>
      <c r="I18" s="42">
        <f>BS!I27-BS!H27</f>
        <v>998.59138567372793</v>
      </c>
      <c r="K18" s="20"/>
    </row>
    <row r="19" spans="1:11" x14ac:dyDescent="0.15">
      <c r="A19" s="47" t="s">
        <v>374</v>
      </c>
      <c r="B19" s="41">
        <v>525</v>
      </c>
      <c r="C19" s="41">
        <v>1043</v>
      </c>
      <c r="D19" s="41">
        <v>2420</v>
      </c>
      <c r="E19" s="42">
        <f>BS!E28-BS!D28</f>
        <v>986.69999999999982</v>
      </c>
      <c r="F19" s="42">
        <f>BS!F28-BS!E28</f>
        <v>1134.704999999999</v>
      </c>
      <c r="G19" s="42">
        <f>BS!G28-BS!F28</f>
        <v>1304.9107499999991</v>
      </c>
      <c r="H19" s="42">
        <f>BS!H28-BS!G28</f>
        <v>1500.6473624999981</v>
      </c>
      <c r="I19" s="42">
        <f>BS!I28-BS!H28</f>
        <v>1725.7444668749977</v>
      </c>
      <c r="K19" s="20"/>
    </row>
    <row r="20" spans="1:11" x14ac:dyDescent="0.15">
      <c r="A20" s="43" t="s">
        <v>375</v>
      </c>
      <c r="B20" s="54">
        <v>101746</v>
      </c>
      <c r="C20" s="54">
        <v>125299</v>
      </c>
      <c r="D20" s="54">
        <v>164713</v>
      </c>
      <c r="E20" s="44">
        <f>E6+E7+E8+E9+E10+E11+E13+E14+E15+E16+E17+E18+E19</f>
        <v>189502.74830840272</v>
      </c>
      <c r="F20" s="44">
        <f>F6+F7+F8+F9+F10+F11+F13+F14+F15+F16+F17+F18+F19</f>
        <v>213638.36850379308</v>
      </c>
      <c r="G20" s="44">
        <f>G6+G7+G8+G9+G10+G11+G13+G14+G15+G16+G17+G18+G19</f>
        <v>238200.43666027972</v>
      </c>
      <c r="H20" s="44">
        <f>H6+H7+H8+H9+H10+H11+H13+H14+H15+H16+H17+H18+H19</f>
        <v>262073.09407982856</v>
      </c>
      <c r="I20" s="44">
        <f>I6+I7+I8+I9+I10+I11+I13+I14+I15+I16+I17+I18+I19</f>
        <v>285158.01554095896</v>
      </c>
      <c r="K20" s="20" t="s">
        <v>376</v>
      </c>
    </row>
    <row r="22" spans="1:11" x14ac:dyDescent="0.15">
      <c r="A22" s="63" t="s">
        <v>377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</row>
    <row r="23" spans="1:11" x14ac:dyDescent="0.15">
      <c r="A23" s="47" t="s">
        <v>378</v>
      </c>
      <c r="B23" s="41">
        <v>-32251</v>
      </c>
      <c r="C23" s="41">
        <v>-52535</v>
      </c>
      <c r="D23" s="41">
        <v>-91447</v>
      </c>
      <c r="E23" s="42">
        <f>-Assumptions!$I$72</f>
        <v>-180000</v>
      </c>
      <c r="F23" s="42">
        <f>-Assumptions!$I$73</f>
        <v>-160000</v>
      </c>
      <c r="G23" s="42">
        <f>-Assumptions!$I$74</f>
        <v>-140000</v>
      </c>
      <c r="H23" s="42">
        <f>-Assumptions!$I$75</f>
        <v>-120000</v>
      </c>
      <c r="I23" s="42">
        <f>-Assumptions!$I$76</f>
        <v>-105000</v>
      </c>
      <c r="K23" s="20" t="s">
        <v>379</v>
      </c>
    </row>
    <row r="24" spans="1:11" x14ac:dyDescent="0.15">
      <c r="A24" s="12" t="s">
        <v>380</v>
      </c>
      <c r="B24" s="10">
        <f>-B23/Consolidated_PL!B5</f>
        <v>0.10491746748472644</v>
      </c>
      <c r="C24" s="10">
        <f>-C23/Consolidated_PL!C5</f>
        <v>0.15009228096840735</v>
      </c>
      <c r="D24" s="10">
        <f>-D23/Consolidated_PL!D5</f>
        <v>0.22700801318650765</v>
      </c>
      <c r="E24" s="10">
        <f>-E23/Consolidated_PL!E5</f>
        <v>0.39013988205377781</v>
      </c>
      <c r="F24" s="10">
        <f>-F23/Consolidated_PL!F5</f>
        <v>0.30811128784990804</v>
      </c>
      <c r="G24" s="10">
        <f>-G23/Consolidated_PL!G5</f>
        <v>0.24187616305842671</v>
      </c>
      <c r="H24" s="10">
        <f>-H23/Consolidated_PL!H5</f>
        <v>0.188343087632036</v>
      </c>
      <c r="I24" s="10">
        <f>-I23/Consolidated_PL!I5</f>
        <v>0.15149585687101069</v>
      </c>
    </row>
    <row r="26" spans="1:11" x14ac:dyDescent="0.15">
      <c r="A26" s="45" t="s">
        <v>381</v>
      </c>
      <c r="B26" s="46">
        <f t="shared" ref="B26:I26" si="0">B20+B23</f>
        <v>69495</v>
      </c>
      <c r="C26" s="46">
        <f t="shared" si="0"/>
        <v>72764</v>
      </c>
      <c r="D26" s="46">
        <f t="shared" si="0"/>
        <v>73266</v>
      </c>
      <c r="E26" s="46">
        <f t="shared" si="0"/>
        <v>9502.748308402719</v>
      </c>
      <c r="F26" s="46">
        <f t="shared" si="0"/>
        <v>53638.368503793085</v>
      </c>
      <c r="G26" s="46">
        <f t="shared" si="0"/>
        <v>98200.436660279724</v>
      </c>
      <c r="H26" s="46">
        <f t="shared" si="0"/>
        <v>142073.09407982856</v>
      </c>
      <c r="I26" s="46">
        <f t="shared" si="0"/>
        <v>180158.01554095896</v>
      </c>
      <c r="K26" s="20" t="s">
        <v>382</v>
      </c>
    </row>
    <row r="27" spans="1:11" x14ac:dyDescent="0.15">
      <c r="A27" s="12" t="s">
        <v>383</v>
      </c>
      <c r="B27" s="10">
        <f>B26/Consolidated_PL!B5</f>
        <v>0.22607793255561268</v>
      </c>
      <c r="C27" s="10">
        <f>C26/Consolidated_PL!C5</f>
        <v>0.20788645155392008</v>
      </c>
      <c r="D27" s="10">
        <f>D26/Consolidated_PL!D5</f>
        <v>0.18187550268595656</v>
      </c>
      <c r="E27" s="10">
        <f>E26/Consolidated_PL!E5</f>
        <v>2.0596672801260964E-2</v>
      </c>
      <c r="F27" s="10">
        <f>F26/Consolidated_PL!F5</f>
        <v>0.1032911674866977</v>
      </c>
      <c r="G27" s="10">
        <f>G26/Consolidated_PL!G5</f>
        <v>0.16965960592893231</v>
      </c>
      <c r="H27" s="10">
        <f>H26/Consolidated_PL!H5</f>
        <v>0.22298737673693039</v>
      </c>
      <c r="I27" s="10">
        <f>I26/Consolidated_PL!I5</f>
        <v>0.25993517082436612</v>
      </c>
    </row>
    <row r="29" spans="1:11" x14ac:dyDescent="0.15">
      <c r="A29" s="63" t="s">
        <v>384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0" spans="1:11" x14ac:dyDescent="0.15">
      <c r="A30" s="47" t="s">
        <v>385</v>
      </c>
      <c r="B30" s="41">
        <v>-61504</v>
      </c>
      <c r="C30" s="41">
        <v>-62222</v>
      </c>
      <c r="D30" s="41">
        <v>-45709</v>
      </c>
      <c r="E30" s="42">
        <f>-Assumptions!$I$79</f>
        <v>-50000</v>
      </c>
      <c r="F30" s="42">
        <f>-Assumptions!$I$79</f>
        <v>-50000</v>
      </c>
      <c r="G30" s="42">
        <f>-Assumptions!$I$79</f>
        <v>-50000</v>
      </c>
      <c r="H30" s="42">
        <f>-Assumptions!$I$79</f>
        <v>-50000</v>
      </c>
      <c r="I30" s="42">
        <f>-Assumptions!$I$79</f>
        <v>-50000</v>
      </c>
      <c r="K30" s="20" t="s">
        <v>386</v>
      </c>
    </row>
    <row r="31" spans="1:11" x14ac:dyDescent="0.15">
      <c r="A31" s="47" t="s">
        <v>387</v>
      </c>
      <c r="B31" s="41">
        <v>0</v>
      </c>
      <c r="C31" s="41">
        <v>-7363</v>
      </c>
      <c r="D31" s="41">
        <v>-10049</v>
      </c>
      <c r="E31" s="42">
        <f>-Assumptions!$I$80*Consolidated_PL!E40</f>
        <v>-10547.152</v>
      </c>
      <c r="F31" s="42">
        <f>-Assumptions!$I$80*Consolidated_PL!F40</f>
        <v>-10336.20896</v>
      </c>
      <c r="G31" s="42">
        <f>-Assumptions!$I$80*Consolidated_PL!G40</f>
        <v>-10129.484780799998</v>
      </c>
      <c r="H31" s="42">
        <f>-Assumptions!$I$80*Consolidated_PL!H40</f>
        <v>-9926.8950851839982</v>
      </c>
      <c r="I31" s="42">
        <f>-Assumptions!$I$80*Consolidated_PL!I40</f>
        <v>-9728.3571834803188</v>
      </c>
      <c r="K31" s="20" t="s">
        <v>388</v>
      </c>
    </row>
    <row r="34" spans="1:1" x14ac:dyDescent="0.15">
      <c r="A34" s="15" t="s">
        <v>67</v>
      </c>
    </row>
    <row r="35" spans="1:1" x14ac:dyDescent="0.15">
      <c r="A35" s="14" t="s">
        <v>68</v>
      </c>
    </row>
    <row r="36" spans="1:1" x14ac:dyDescent="0.15">
      <c r="A36" s="14" t="s">
        <v>69</v>
      </c>
    </row>
    <row r="37" spans="1:1" x14ac:dyDescent="0.15">
      <c r="A37" s="14" t="s">
        <v>70</v>
      </c>
    </row>
    <row r="38" spans="1:1" x14ac:dyDescent="0.15">
      <c r="A38" s="14" t="s">
        <v>71</v>
      </c>
    </row>
    <row r="39" spans="1:1" x14ac:dyDescent="0.15">
      <c r="A39" s="14" t="s">
        <v>72</v>
      </c>
    </row>
    <row r="41" spans="1:1" x14ac:dyDescent="0.15">
      <c r="A41" s="15" t="s">
        <v>73</v>
      </c>
    </row>
    <row r="42" spans="1:1" x14ac:dyDescent="0.15">
      <c r="A42" s="14" t="s">
        <v>74</v>
      </c>
    </row>
    <row r="43" spans="1:1" x14ac:dyDescent="0.15">
      <c r="A43" s="14" t="s">
        <v>75</v>
      </c>
    </row>
    <row r="44" spans="1:1" x14ac:dyDescent="0.15">
      <c r="A44" s="14" t="s">
        <v>76</v>
      </c>
    </row>
    <row r="45" spans="1:1" x14ac:dyDescent="0.15">
      <c r="A45" s="14" t="s">
        <v>77</v>
      </c>
    </row>
  </sheetData>
  <mergeCells count="4">
    <mergeCell ref="A22:K22"/>
    <mergeCell ref="A5:K5"/>
    <mergeCell ref="A12:K12"/>
    <mergeCell ref="A29:K29"/>
  </mergeCells>
  <phoneticPr fontId="1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4" customWidth="1"/>
    <col min="2" max="6" width="16" customWidth="1"/>
    <col min="7" max="7" width="38" customWidth="1"/>
  </cols>
  <sheetData>
    <row r="1" spans="1:7" ht="18.75" x14ac:dyDescent="0.25">
      <c r="A1" s="4" t="s">
        <v>389</v>
      </c>
    </row>
    <row r="2" spans="1:7" x14ac:dyDescent="0.15">
      <c r="A2" s="5" t="s">
        <v>390</v>
      </c>
    </row>
    <row r="4" spans="1:7" x14ac:dyDescent="0.15">
      <c r="A4" s="40"/>
      <c r="B4" s="6" t="s">
        <v>31</v>
      </c>
      <c r="C4" s="6" t="s">
        <v>32</v>
      </c>
      <c r="D4" s="6" t="s">
        <v>33</v>
      </c>
      <c r="E4" s="6" t="s">
        <v>114</v>
      </c>
      <c r="F4" s="6" t="s">
        <v>115</v>
      </c>
      <c r="G4" s="6" t="s">
        <v>85</v>
      </c>
    </row>
    <row r="6" spans="1:7" x14ac:dyDescent="0.15">
      <c r="A6" s="7" t="s">
        <v>391</v>
      </c>
      <c r="B6" s="8">
        <f>Consolidated_PL!E26</f>
        <v>157314.70025999998</v>
      </c>
      <c r="C6" s="8">
        <f>Consolidated_PL!F26</f>
        <v>177860.09031880001</v>
      </c>
      <c r="D6" s="8">
        <f>Consolidated_PL!G26</f>
        <v>198660.53663768401</v>
      </c>
      <c r="E6" s="8">
        <f>Consolidated_PL!H26</f>
        <v>218798.98130203597</v>
      </c>
      <c r="F6" s="8">
        <f>Consolidated_PL!I26</f>
        <v>238302.07332287316</v>
      </c>
      <c r="G6" s="9" t="s">
        <v>36</v>
      </c>
    </row>
    <row r="7" spans="1:7" x14ac:dyDescent="0.15">
      <c r="A7" s="47" t="s">
        <v>392</v>
      </c>
      <c r="B7" s="42">
        <f>B6*Assumptions!$I$11</f>
        <v>26743.499044199998</v>
      </c>
      <c r="C7" s="42">
        <f>C6*Assumptions!$I$11</f>
        <v>30236.215354196003</v>
      </c>
      <c r="D7" s="42">
        <f>D6*Assumptions!$I$11</f>
        <v>33772.291228406284</v>
      </c>
      <c r="E7" s="42">
        <f>E6*Assumptions!$I$11</f>
        <v>37195.82682134612</v>
      </c>
      <c r="F7" s="42">
        <f>F6*Assumptions!$I$11</f>
        <v>40511.352464888441</v>
      </c>
    </row>
    <row r="8" spans="1:7" x14ac:dyDescent="0.15">
      <c r="A8" s="7" t="s">
        <v>393</v>
      </c>
      <c r="B8" s="42">
        <f>B6-B7</f>
        <v>130571.20121579999</v>
      </c>
      <c r="C8" s="42">
        <f>C6-C7</f>
        <v>147623.87496460401</v>
      </c>
      <c r="D8" s="42">
        <f>D6-D7</f>
        <v>164888.24540927773</v>
      </c>
      <c r="E8" s="42">
        <f>E6-E7</f>
        <v>181603.15448068985</v>
      </c>
      <c r="F8" s="42">
        <f>F6-F7</f>
        <v>197790.72085798471</v>
      </c>
      <c r="G8" s="9" t="s">
        <v>394</v>
      </c>
    </row>
    <row r="9" spans="1:7" x14ac:dyDescent="0.15">
      <c r="A9" s="47" t="s">
        <v>395</v>
      </c>
      <c r="B9" s="8">
        <f>Consolidated_PL!E37</f>
        <v>25375.513900000002</v>
      </c>
      <c r="C9" s="8">
        <f>Consolidated_PL!F37</f>
        <v>28561.108752</v>
      </c>
      <c r="D9" s="8">
        <f>Consolidated_PL!G37</f>
        <v>31834.472246609999</v>
      </c>
      <c r="E9" s="8">
        <f>Consolidated_PL!H37</f>
        <v>35042.4328441209</v>
      </c>
      <c r="F9" s="8">
        <f>Consolidated_PL!I37</f>
        <v>38119.854359562145</v>
      </c>
    </row>
    <row r="10" spans="1:7" x14ac:dyDescent="0.15">
      <c r="A10" s="47" t="s">
        <v>396</v>
      </c>
      <c r="B10" s="42">
        <f>Assumptions!$I$72</f>
        <v>180000</v>
      </c>
      <c r="C10" s="42">
        <f>Assumptions!$I$73</f>
        <v>160000</v>
      </c>
      <c r="D10" s="42">
        <f>Assumptions!$I$74</f>
        <v>140000</v>
      </c>
      <c r="E10" s="42">
        <f>Assumptions!$I$75</f>
        <v>120000</v>
      </c>
      <c r="F10" s="42">
        <f>Assumptions!$I$76</f>
        <v>105000</v>
      </c>
      <c r="G10" s="9" t="s">
        <v>397</v>
      </c>
    </row>
    <row r="11" spans="1:7" x14ac:dyDescent="0.15">
      <c r="A11" s="47" t="s">
        <v>398</v>
      </c>
      <c r="B11" s="42">
        <f>(Consolidated_PL!E5-Consolidated_PL!D5)*Assumptions!$I$68</f>
        <v>292.6849000000002</v>
      </c>
      <c r="C11" s="42">
        <f>(Consolidated_PL!F5-Consolidated_PL!E5)*Assumptions!$I$68</f>
        <v>289.5995319999999</v>
      </c>
      <c r="D11" s="42">
        <f>(Consolidated_PL!G5-Consolidated_PL!F5)*Assumptions!$I$68</f>
        <v>297.5784995099998</v>
      </c>
      <c r="E11" s="42">
        <f>(Consolidated_PL!H5-Consolidated_PL!G5)*Assumptions!$I$68</f>
        <v>291.63278159190025</v>
      </c>
      <c r="F11" s="42">
        <f>(Consolidated_PL!I5-Consolidated_PL!H5)*Assumptions!$I$68</f>
        <v>279.76559231284017</v>
      </c>
    </row>
    <row r="12" spans="1:7" x14ac:dyDescent="0.15">
      <c r="A12" s="45" t="s">
        <v>399</v>
      </c>
      <c r="B12" s="46">
        <f>B8+B9-B10-B11</f>
        <v>-24345.969784200024</v>
      </c>
      <c r="C12" s="46">
        <f>C8+C9-C10-C11</f>
        <v>15895.384184604009</v>
      </c>
      <c r="D12" s="46">
        <f>D8+D9-D10-D11</f>
        <v>56425.139156377743</v>
      </c>
      <c r="E12" s="46">
        <f>E8+E9-E10-E11</f>
        <v>96353.954543218832</v>
      </c>
      <c r="F12" s="46">
        <f>F8+F9-F10-F11</f>
        <v>130630.809625234</v>
      </c>
      <c r="G12" s="9" t="s">
        <v>400</v>
      </c>
    </row>
    <row r="13" spans="1:7" x14ac:dyDescent="0.15">
      <c r="A13" s="47" t="s">
        <v>401</v>
      </c>
      <c r="B13" s="55">
        <f>1/(1+Assumptions!$I$18)^1</f>
        <v>0.91500927224646034</v>
      </c>
      <c r="C13" s="55">
        <f>1/(1+Assumptions!$I$18)^2</f>
        <v>0.83724196829699704</v>
      </c>
      <c r="D13" s="55">
        <f>1/(1+Assumptions!$I$18)^3</f>
        <v>0.76608416410562929</v>
      </c>
      <c r="E13" s="55">
        <f>1/(1+Assumptions!$I$18)^4</f>
        <v>0.70097411347782979</v>
      </c>
      <c r="F13" s="55">
        <f>1/(1+Assumptions!$I$18)^5</f>
        <v>0.64139781343695679</v>
      </c>
    </row>
    <row r="14" spans="1:7" x14ac:dyDescent="0.15">
      <c r="A14" s="7" t="s">
        <v>402</v>
      </c>
      <c r="B14" s="42">
        <f>B12*B13</f>
        <v>-22276.788094375177</v>
      </c>
      <c r="C14" s="42">
        <f>C12*C13</f>
        <v>13308.282741554818</v>
      </c>
      <c r="D14" s="42">
        <f>D12*D13</f>
        <v>43226.40556515746</v>
      </c>
      <c r="E14" s="42">
        <f>E12*E13</f>
        <v>67541.62786601593</v>
      </c>
      <c r="F14" s="42">
        <f>F12*F13</f>
        <v>83786.315661124463</v>
      </c>
    </row>
    <row r="16" spans="1:7" x14ac:dyDescent="0.15">
      <c r="A16" s="7" t="s">
        <v>403</v>
      </c>
      <c r="B16" s="42">
        <f>F12*(1+Assumptions!$I$13)/(Assumptions!$I$18-Assumptions!$I$13)</f>
        <v>2139612.3074303931</v>
      </c>
      <c r="G16" s="9" t="s">
        <v>404</v>
      </c>
    </row>
    <row r="17" spans="1:7" x14ac:dyDescent="0.15">
      <c r="A17" s="7" t="s">
        <v>405</v>
      </c>
      <c r="B17" s="42">
        <f>B16*F13</f>
        <v>1372342.655588656</v>
      </c>
    </row>
    <row r="18" spans="1:7" x14ac:dyDescent="0.15">
      <c r="A18" s="12" t="s">
        <v>406</v>
      </c>
      <c r="B18" s="13">
        <f>B17/(SUM(B14:F14)+B17)</f>
        <v>0.88087653328152571</v>
      </c>
    </row>
    <row r="20" spans="1:7" x14ac:dyDescent="0.15">
      <c r="A20" s="7" t="s">
        <v>407</v>
      </c>
      <c r="B20" s="42">
        <f>SUM(B14:F14)</f>
        <v>185585.84373947751</v>
      </c>
      <c r="G20" s="9" t="s">
        <v>408</v>
      </c>
    </row>
    <row r="21" spans="1:7" x14ac:dyDescent="0.15">
      <c r="A21" s="7" t="s">
        <v>405</v>
      </c>
      <c r="B21" s="42">
        <f>B17</f>
        <v>1372342.655588656</v>
      </c>
    </row>
    <row r="22" spans="1:7" x14ac:dyDescent="0.15">
      <c r="A22" s="43" t="s">
        <v>409</v>
      </c>
      <c r="B22" s="44">
        <f>B20+B21</f>
        <v>1557928.4993281334</v>
      </c>
      <c r="G22" s="9" t="e">
        <f>UFCF PV + TV PV</f>
        <v>#NAME?</v>
      </c>
    </row>
    <row r="23" spans="1:7" x14ac:dyDescent="0.15">
      <c r="A23" s="7" t="s">
        <v>410</v>
      </c>
      <c r="B23" s="42">
        <f>Assumptions!$I$21</f>
        <v>126843</v>
      </c>
      <c r="G23" s="9" t="s">
        <v>411</v>
      </c>
    </row>
    <row r="24" spans="1:7" x14ac:dyDescent="0.15">
      <c r="A24" s="7" t="s">
        <v>412</v>
      </c>
      <c r="B24" s="42">
        <f>Assumptions!$I$22</f>
        <v>46547</v>
      </c>
      <c r="G24" s="9" t="s">
        <v>109</v>
      </c>
    </row>
    <row r="25" spans="1:7" x14ac:dyDescent="0.15">
      <c r="A25" s="43" t="s">
        <v>413</v>
      </c>
      <c r="B25" s="44">
        <f>B22+B23-B24</f>
        <v>1638224.4993281334</v>
      </c>
      <c r="G25" s="9" t="e">
        <f>EV+Cash-Debt</f>
        <v>#NAME?</v>
      </c>
    </row>
    <row r="26" spans="1:7" x14ac:dyDescent="0.15">
      <c r="A26" s="7" t="s">
        <v>110</v>
      </c>
      <c r="B26" s="42">
        <f>Assumptions!$I$23</f>
        <v>12230</v>
      </c>
    </row>
    <row r="27" spans="1:7" x14ac:dyDescent="0.15">
      <c r="A27" s="45" t="s">
        <v>414</v>
      </c>
      <c r="B27" s="52">
        <f>B25/B26</f>
        <v>133.95130820344508</v>
      </c>
      <c r="G27" s="9" t="e">
        <f>Equity Value / Shares</f>
        <v>#NAME?</v>
      </c>
    </row>
    <row r="31" spans="1:7" x14ac:dyDescent="0.15">
      <c r="A31" s="15" t="s">
        <v>67</v>
      </c>
    </row>
    <row r="32" spans="1:7" x14ac:dyDescent="0.15">
      <c r="A32" s="14" t="s">
        <v>68</v>
      </c>
    </row>
    <row r="33" spans="1:1" x14ac:dyDescent="0.15">
      <c r="A33" s="14" t="s">
        <v>69</v>
      </c>
    </row>
    <row r="34" spans="1:1" x14ac:dyDescent="0.15">
      <c r="A34" s="14" t="s">
        <v>70</v>
      </c>
    </row>
    <row r="35" spans="1:1" x14ac:dyDescent="0.15">
      <c r="A35" s="14" t="s">
        <v>71</v>
      </c>
    </row>
    <row r="36" spans="1:1" x14ac:dyDescent="0.15">
      <c r="A36" s="14" t="s">
        <v>72</v>
      </c>
    </row>
    <row r="38" spans="1:1" x14ac:dyDescent="0.15">
      <c r="A38" s="15" t="s">
        <v>73</v>
      </c>
    </row>
    <row r="39" spans="1:1" x14ac:dyDescent="0.15">
      <c r="A39" s="14" t="s">
        <v>74</v>
      </c>
    </row>
    <row r="40" spans="1:1" x14ac:dyDescent="0.15">
      <c r="A40" s="14" t="s">
        <v>75</v>
      </c>
    </row>
    <row r="41" spans="1:1" x14ac:dyDescent="0.15">
      <c r="A41" s="14" t="s">
        <v>76</v>
      </c>
    </row>
    <row r="42" spans="1:1" x14ac:dyDescent="0.15">
      <c r="A42" s="14" t="s">
        <v>77</v>
      </c>
    </row>
  </sheetData>
  <phoneticPr fontId="1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3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18" customWidth="1"/>
    <col min="2" max="8" width="16" customWidth="1"/>
  </cols>
  <sheetData>
    <row r="1" spans="1:8" ht="18.75" x14ac:dyDescent="0.25">
      <c r="A1" s="4" t="s">
        <v>415</v>
      </c>
    </row>
    <row r="2" spans="1:8" x14ac:dyDescent="0.15">
      <c r="A2" s="5" t="s">
        <v>416</v>
      </c>
    </row>
    <row r="4" spans="1:8" x14ac:dyDescent="0.15">
      <c r="A4" s="56" t="s">
        <v>417</v>
      </c>
      <c r="B4" s="57">
        <v>7.4999999999999997E-2</v>
      </c>
      <c r="C4" s="57">
        <v>0.08</v>
      </c>
      <c r="D4" s="57">
        <v>8.5000000000000006E-2</v>
      </c>
      <c r="E4" s="57">
        <v>0.09</v>
      </c>
      <c r="F4" s="57">
        <v>9.5000000000000001E-2</v>
      </c>
      <c r="G4" s="57">
        <v>0.1</v>
      </c>
      <c r="H4" s="57">
        <v>0.105</v>
      </c>
    </row>
    <row r="5" spans="1:8" x14ac:dyDescent="0.15">
      <c r="A5" s="58">
        <v>0.02</v>
      </c>
      <c r="B5" s="59">
        <f>(SUM(DCF!B14:F14)+(DCF!F12*(1+$A5)/(B$4-$A5))/((1+B$4)^5)+Assumptions!$I$21-Assumptions!$I$22)/Assumptions!$I$23</f>
        <v>159.71955677234743</v>
      </c>
      <c r="C5" s="59">
        <f>(SUM(DCF!B14:F14)+(DCF!F12*(1+$A5)/(C$4-$A5))/((1+C$4)^5)+Assumptions!$I$21-Assumptions!$I$22)/Assumptions!$I$23</f>
        <v>145.32045155510352</v>
      </c>
      <c r="D5" s="59">
        <f>(SUM(DCF!B14:F14)+(DCF!F12*(1+$A5)/(D$4-$A5))/((1+D$4)^5)+Assumptions!$I$21-Assumptions!$I$22)/Assumptions!$I$23</f>
        <v>133.20995077228181</v>
      </c>
      <c r="E5" s="59">
        <f>(SUM(DCF!B14:F14)+(DCF!F12*(1+$A5)/(E$4-$A5))/((1+E$4)^5)+Assumptions!$I$21-Assumptions!$I$22)/Assumptions!$I$23</f>
        <v>122.89547192924549</v>
      </c>
      <c r="F5" s="59">
        <f>(SUM(DCF!B14:F14)+(DCF!F12*(1+$A5)/(F$4-$A5))/((1+F$4)^5)+Assumptions!$I$21-Assumptions!$I$22)/Assumptions!$I$23</f>
        <v>114.01586108129719</v>
      </c>
      <c r="G5" s="59">
        <f>(SUM(DCF!B14:F14)+(DCF!F12*(1+$A5)/(G$4-$A5))/((1+G$4)^5)+Assumptions!$I$21-Assumptions!$I$22)/Assumptions!$I$23</f>
        <v>106.30031862923434</v>
      </c>
      <c r="H5" s="59">
        <f>(SUM(DCF!B14:F14)+(DCF!F12*(1+$A5)/(H$4-$A5))/((1+H$4)^5)+Assumptions!$I$21-Assumptions!$I$22)/Assumptions!$I$23</f>
        <v>99.541822010375739</v>
      </c>
    </row>
    <row r="6" spans="1:8" x14ac:dyDescent="0.15">
      <c r="A6" s="58">
        <v>2.5000000000000001E-2</v>
      </c>
      <c r="B6" s="59">
        <f>(SUM(DCF!B14:F14)+(DCF!F12*(1+$A6)/(B$4-$A6))/((1+B$4)^5)+Assumptions!$I$21-Assumptions!$I$22)/Assumptions!$I$23</f>
        <v>174.26150569860803</v>
      </c>
      <c r="C6" s="59">
        <f>(SUM(DCF!B14:F14)+(DCF!F12*(1+$A6)/(C$4-$A6))/((1+C$4)^5)+Assumptions!$I$21-Assumptions!$I$22)/Assumptions!$I$23</f>
        <v>157.21588315270469</v>
      </c>
      <c r="D6" s="59">
        <f>(SUM(DCF!B14:F14)+(DCF!F12*(1+$A6)/(D$4-$A6))/((1+D$4)^5)+Assumptions!$I$21-Assumptions!$I$22)/Assumptions!$I$23</f>
        <v>143.09105786063864</v>
      </c>
      <c r="E6" s="59">
        <f>(SUM(DCF!B14:F14)+(DCF!F12*(1+$A6)/(E$4-$A6))/((1+E$4)^5)+Assumptions!$I$21-Assumptions!$I$22)/Assumptions!$I$23</f>
        <v>131.21065427497916</v>
      </c>
      <c r="F6" s="59">
        <f>(SUM(DCF!B14:F14)+(DCF!F12*(1+$A6)/(F$4-$A6))/((1+F$4)^5)+Assumptions!$I$21-Assumptions!$I$22)/Assumptions!$I$23</f>
        <v>121.09162583714873</v>
      </c>
      <c r="G6" s="59">
        <f>(SUM(DCF!B14:F14)+(DCF!F12*(1+$A6)/(G$4-$A6))/((1+G$4)^5)+Assumptions!$I$21-Assumptions!$I$22)/Assumptions!$I$23</f>
        <v>112.37980899849487</v>
      </c>
      <c r="H6" s="59">
        <f>(SUM(DCF!B14:F14)+(DCF!F12*(1+$A6)/(H$4-$A6))/((1+H$4)^5)+Assumptions!$I$21-Assumptions!$I$22)/Assumptions!$I$23</f>
        <v>104.8096446088428</v>
      </c>
    </row>
    <row r="7" spans="1:8" x14ac:dyDescent="0.15">
      <c r="A7" s="58">
        <v>0.03</v>
      </c>
      <c r="B7" s="59">
        <f>(SUM(DCF!B14:F14)+(DCF!F12*(1+$A7)/(B$4-$A7))/((1+B$4)^5)+Assumptions!$I$21-Assumptions!$I$22)/Assumptions!$I$23</f>
        <v>192.03499883070432</v>
      </c>
      <c r="C7" s="59">
        <f>(SUM(DCF!B14:F14)+(DCF!F12*(1+$A7)/(C$4-$A7))/((1+C$4)^5)+Assumptions!$I$21-Assumptions!$I$22)/Assumptions!$I$23</f>
        <v>171.49040106982611</v>
      </c>
      <c r="D7" s="59">
        <f>(SUM(DCF!B14:F14)+(DCF!F12*(1+$A7)/(D$4-$A7))/((1+D$4)^5)+Assumptions!$I$21-Assumptions!$I$22)/Assumptions!$I$23</f>
        <v>154.76872987415129</v>
      </c>
      <c r="E7" s="59">
        <f>(SUM(DCF!B14:F14)+(DCF!F12*(1+$A7)/(E$4-$A7))/((1+E$4)^5)+Assumptions!$I$21-Assumptions!$I$22)/Assumptions!$I$23</f>
        <v>140.91170034500178</v>
      </c>
      <c r="F7" s="59">
        <f>(SUM(DCF!B14:F14)+(DCF!F12*(1+$A7)/(F$4-$A7))/((1+F$4)^5)+Assumptions!$I$21-Assumptions!$I$22)/Assumptions!$I$23</f>
        <v>129.2559697862082</v>
      </c>
      <c r="G7" s="59">
        <f>(SUM(DCF!B14:F14)+(DCF!F12*(1+$A7)/(G$4-$A7))/((1+G$4)^5)+Assumptions!$I$21-Assumptions!$I$22)/Assumptions!$I$23</f>
        <v>119.32779799193548</v>
      </c>
      <c r="H7" s="59">
        <f>(SUM(DCF!B14:F14)+(DCF!F12*(1+$A7)/(H$4-$A7))/((1+H$4)^5)+Assumptions!$I$21-Assumptions!$I$22)/Assumptions!$I$23</f>
        <v>110.77984355377212</v>
      </c>
    </row>
    <row r="8" spans="1:8" x14ac:dyDescent="0.15">
      <c r="A8" s="58">
        <v>3.5000000000000003E-2</v>
      </c>
      <c r="B8" s="59">
        <f>(SUM(DCF!B14:F14)+(DCF!F12*(1+$A8)/(B$4-$A8))/((1+B$4)^5)+Assumptions!$I$21-Assumptions!$I$22)/Assumptions!$I$23</f>
        <v>214.25186524582469</v>
      </c>
      <c r="C8" s="59">
        <f>(SUM(DCF!B14:F14)+(DCF!F12*(1+$A8)/(C$4-$A8))/((1+C$4)^5)+Assumptions!$I$21-Assumptions!$I$22)/Assumptions!$I$23</f>
        <v>188.93703407964117</v>
      </c>
      <c r="D8" s="59">
        <f>(SUM(DCF!B14:F14)+(DCF!F12*(1+$A8)/(D$4-$A8))/((1+D$4)^5)+Assumptions!$I$21-Assumptions!$I$22)/Assumptions!$I$23</f>
        <v>168.7819362903665</v>
      </c>
      <c r="E8" s="59">
        <f>(SUM(DCF!B14:F14)+(DCF!F12*(1+$A8)/(E$4-$A8))/((1+E$4)^5)+Assumptions!$I$21-Assumptions!$I$22)/Assumptions!$I$23</f>
        <v>152.37657297321036</v>
      </c>
      <c r="F8" s="59">
        <f>(SUM(DCF!B14:F14)+(DCF!F12*(1+$A8)/(F$4-$A8))/((1+F$4)^5)+Assumptions!$I$21-Assumptions!$I$22)/Assumptions!$I$23</f>
        <v>138.78103772677761</v>
      </c>
      <c r="G8" s="59">
        <f>(SUM(DCF!B14:F14)+(DCF!F12*(1+$A8)/(G$4-$A8))/((1+G$4)^5)+Assumptions!$I$21-Assumptions!$I$22)/Assumptions!$I$23</f>
        <v>127.34470836898235</v>
      </c>
      <c r="H8" s="59">
        <f>(SUM(DCF!B14:F14)+(DCF!F12*(1+$A8)/(H$4-$A8))/((1+H$4)^5)+Assumptions!$I$21-Assumptions!$I$22)/Assumptions!$I$23</f>
        <v>117.60292806226279</v>
      </c>
    </row>
    <row r="9" spans="1:8" x14ac:dyDescent="0.15">
      <c r="A9" s="58">
        <v>0.04</v>
      </c>
      <c r="B9" s="59">
        <f>(SUM(DCF!B14:F14)+(DCF!F12*(1+$A9)/(B$4-$A9))/((1+B$4)^5)+Assumptions!$I$21-Assumptions!$I$22)/Assumptions!$I$23</f>
        <v>242.81640777955093</v>
      </c>
      <c r="C9" s="59">
        <f>(SUM(DCF!B14:F14)+(DCF!F12*(1+$A9)/(C$4-$A9))/((1+C$4)^5)+Assumptions!$I$21-Assumptions!$I$22)/Assumptions!$I$23</f>
        <v>210.74532534191005</v>
      </c>
      <c r="D9" s="59">
        <f>(SUM(DCF!B14:F14)+(DCF!F12*(1+$A9)/(D$4-$A9))/((1+D$4)^5)+Assumptions!$I$21-Assumptions!$I$22)/Assumptions!$I$23</f>
        <v>185.90918857685176</v>
      </c>
      <c r="E9" s="59">
        <f>(SUM(DCF!B14:F14)+(DCF!F12*(1+$A9)/(E$4-$A9))/((1+E$4)^5)+Assumptions!$I$21-Assumptions!$I$22)/Assumptions!$I$23</f>
        <v>166.13442012706065</v>
      </c>
      <c r="F9" s="59">
        <f>(SUM(DCF!B14:F14)+(DCF!F12*(1+$A9)/(F$4-$A9))/((1+F$4)^5)+Assumptions!$I$21-Assumptions!$I$22)/Assumptions!$I$23</f>
        <v>150.03793620199602</v>
      </c>
      <c r="G9" s="59">
        <f>(SUM(DCF!B14:F14)+(DCF!F12*(1+$A9)/(G$4-$A9))/((1+G$4)^5)+Assumptions!$I$21-Assumptions!$I$22)/Assumptions!$I$23</f>
        <v>136.69777047553706</v>
      </c>
      <c r="H9" s="59">
        <f>(SUM(DCF!B14:F14)+(DCF!F12*(1+$A9)/(H$4-$A9))/((1+H$4)^5)+Assumptions!$I$21-Assumptions!$I$22)/Assumptions!$I$23</f>
        <v>125.47571787975204</v>
      </c>
    </row>
    <row r="12" spans="1:8" x14ac:dyDescent="0.15">
      <c r="A12" s="15" t="s">
        <v>67</v>
      </c>
    </row>
    <row r="13" spans="1:8" x14ac:dyDescent="0.15">
      <c r="A13" s="14" t="s">
        <v>68</v>
      </c>
    </row>
    <row r="14" spans="1:8" x14ac:dyDescent="0.15">
      <c r="A14" s="14" t="s">
        <v>69</v>
      </c>
    </row>
    <row r="15" spans="1:8" x14ac:dyDescent="0.15">
      <c r="A15" s="14" t="s">
        <v>70</v>
      </c>
    </row>
    <row r="16" spans="1:8" x14ac:dyDescent="0.15">
      <c r="A16" s="14" t="s">
        <v>71</v>
      </c>
    </row>
    <row r="17" spans="1:1" x14ac:dyDescent="0.15">
      <c r="A17" s="14" t="s">
        <v>72</v>
      </c>
    </row>
    <row r="19" spans="1:1" x14ac:dyDescent="0.15">
      <c r="A19" s="15" t="s">
        <v>73</v>
      </c>
    </row>
    <row r="20" spans="1:1" x14ac:dyDescent="0.15">
      <c r="A20" s="14" t="s">
        <v>74</v>
      </c>
    </row>
    <row r="21" spans="1:1" x14ac:dyDescent="0.15">
      <c r="A21" s="14" t="s">
        <v>75</v>
      </c>
    </row>
    <row r="22" spans="1:1" x14ac:dyDescent="0.15">
      <c r="A22" s="14" t="s">
        <v>76</v>
      </c>
    </row>
    <row r="23" spans="1:1" x14ac:dyDescent="0.15">
      <c r="A23" s="14" t="s">
        <v>77</v>
      </c>
    </row>
  </sheetData>
  <phoneticPr fontId="1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3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0" customWidth="1"/>
    <col min="2" max="10" width="14" customWidth="1"/>
    <col min="11" max="11" width="38" customWidth="1"/>
  </cols>
  <sheetData>
    <row r="1" spans="1:11" ht="18.75" x14ac:dyDescent="0.25">
      <c r="A1" s="4" t="s">
        <v>418</v>
      </c>
    </row>
    <row r="2" spans="1:11" x14ac:dyDescent="0.15">
      <c r="A2" s="5" t="s">
        <v>419</v>
      </c>
    </row>
    <row r="3" spans="1:11" x14ac:dyDescent="0.15">
      <c r="A3" s="40"/>
      <c r="B3" s="6">
        <v>2023</v>
      </c>
      <c r="C3" s="6">
        <v>2024</v>
      </c>
      <c r="D3" s="6">
        <v>2025</v>
      </c>
      <c r="E3" s="6" t="s">
        <v>31</v>
      </c>
      <c r="F3" s="6" t="s">
        <v>32</v>
      </c>
      <c r="G3" s="6" t="s">
        <v>33</v>
      </c>
      <c r="H3" s="6" t="s">
        <v>114</v>
      </c>
      <c r="I3" s="6" t="s">
        <v>115</v>
      </c>
      <c r="K3" s="6" t="s">
        <v>85</v>
      </c>
    </row>
    <row r="5" spans="1:11" x14ac:dyDescent="0.15">
      <c r="A5" s="63" t="s">
        <v>420</v>
      </c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x14ac:dyDescent="0.15">
      <c r="A6" s="7" t="s">
        <v>421</v>
      </c>
      <c r="B6" s="13">
        <f>(Consolidated_PL!B5-Consolidated_PL!B14)/Consolidated_PL!B5</f>
        <v>0.56625047984020505</v>
      </c>
      <c r="C6" s="13">
        <f>(Consolidated_PL!C5-Consolidated_PL!C14)/Consolidated_PL!C5</f>
        <v>0.58200435406179107</v>
      </c>
      <c r="D6" s="13">
        <f>(Consolidated_PL!D5-Consolidated_PL!D14)/Consolidated_PL!D5</f>
        <v>0.59652315086039975</v>
      </c>
      <c r="E6" s="13">
        <f>(Consolidated_PL!E5-Consolidated_PL!E14)/Consolidated_PL!E5</f>
        <v>0.60838339297632904</v>
      </c>
      <c r="F6" s="13">
        <f>(Consolidated_PL!F5-Consolidated_PL!F14)/Consolidated_PL!F5</f>
        <v>0.61259151405929979</v>
      </c>
      <c r="G6" s="13">
        <f>(Consolidated_PL!G5-Consolidated_PL!G14)/Consolidated_PL!G5</f>
        <v>0.61643588229345359</v>
      </c>
      <c r="H6" s="13">
        <f>(Consolidated_PL!H5-Consolidated_PL!H14)/Consolidated_PL!H5</f>
        <v>0.61957834143440638</v>
      </c>
      <c r="I6" s="13">
        <f>(Consolidated_PL!I5-Consolidated_PL!I14)/Consolidated_PL!I5</f>
        <v>0.62210293850182985</v>
      </c>
      <c r="K6" s="20" t="s">
        <v>422</v>
      </c>
    </row>
    <row r="7" spans="1:11" x14ac:dyDescent="0.15">
      <c r="A7" s="7" t="s">
        <v>423</v>
      </c>
      <c r="B7" s="13">
        <f>Consolidated_PL!B26/Consolidated_PL!B5</f>
        <v>0.27421810445226646</v>
      </c>
      <c r="C7" s="13">
        <f>Consolidated_PL!C26/Consolidated_PL!C5</f>
        <v>0.32109777211457696</v>
      </c>
      <c r="D7" s="13">
        <f>Consolidated_PL!D26/Consolidated_PL!D5</f>
        <v>0.32032638592380025</v>
      </c>
      <c r="E7" s="13">
        <f>Consolidated_PL!E26/Consolidated_PL!E5</f>
        <v>0.34097077002645443</v>
      </c>
      <c r="F7" s="13">
        <f>Consolidated_PL!F26/Consolidated_PL!F5</f>
        <v>0.34250438428266522</v>
      </c>
      <c r="G7" s="13">
        <f>Consolidated_PL!G26/Consolidated_PL!G5</f>
        <v>0.34322320252179295</v>
      </c>
      <c r="H7" s="13">
        <f>Consolidated_PL!H26/Consolidated_PL!H5</f>
        <v>0.34341063090974644</v>
      </c>
      <c r="I7" s="13">
        <f>Consolidated_PL!I26/Consolidated_PL!I5</f>
        <v>0.34382644563987702</v>
      </c>
      <c r="K7" s="20" t="s">
        <v>424</v>
      </c>
    </row>
    <row r="8" spans="1:11" x14ac:dyDescent="0.15">
      <c r="A8" s="7" t="s">
        <v>425</v>
      </c>
      <c r="B8" s="13">
        <f>Consolidated_PL!B33/Consolidated_PL!B5</f>
        <v>0.24006649446638517</v>
      </c>
      <c r="C8" s="13">
        <f>Consolidated_PL!C33/Consolidated_PL!C5</f>
        <v>0.28603671811164</v>
      </c>
      <c r="D8" s="13">
        <f>Consolidated_PL!D33/Consolidated_PL!D5</f>
        <v>0.32809877965226542</v>
      </c>
      <c r="E8" s="13">
        <f>Consolidated_PL!E33/Consolidated_PL!E5</f>
        <v>0.29200063084708594</v>
      </c>
      <c r="F8" s="13">
        <f>Consolidated_PL!F33/Consolidated_PL!F5</f>
        <v>0.2930694391360798</v>
      </c>
      <c r="G8" s="13">
        <f>Consolidated_PL!G33/Consolidated_PL!G5</f>
        <v>0.29347913875045217</v>
      </c>
      <c r="H8" s="13">
        <f>Consolidated_PL!H33/Consolidated_PL!H5</f>
        <v>0.29349841496987977</v>
      </c>
      <c r="I8" s="13">
        <f>Consolidated_PL!I33/Consolidated_PL!I5</f>
        <v>0.29375872062796055</v>
      </c>
      <c r="K8" s="20" t="s">
        <v>426</v>
      </c>
    </row>
    <row r="9" spans="1:11" x14ac:dyDescent="0.15">
      <c r="A9" s="7" t="s">
        <v>56</v>
      </c>
      <c r="B9" s="13">
        <f>Consolidated_PL!B33/BS!B40</f>
        <v>0.26041096905557576</v>
      </c>
      <c r="C9" s="13">
        <f>Consolidated_PL!C33/BS!C40</f>
        <v>0.30797578472025694</v>
      </c>
      <c r="D9" s="13">
        <f>Consolidated_PL!D33/BS!D40</f>
        <v>0.31827868951151672</v>
      </c>
      <c r="E9" s="13">
        <f>Consolidated_PL!E33/BS!E40</f>
        <v>0.26793187452393796</v>
      </c>
      <c r="F9" s="13">
        <f>Consolidated_PL!F33/BS!F40</f>
        <v>0.24960001810346027</v>
      </c>
      <c r="G9" s="13">
        <f>Consolidated_PL!G33/BS!G40</f>
        <v>0.23071923612811926</v>
      </c>
      <c r="H9" s="13">
        <f>Consolidated_PL!H33/BS!H40</f>
        <v>0.21206331435780626</v>
      </c>
      <c r="I9" s="13">
        <f>Consolidated_PL!I33/BS!I40</f>
        <v>0.19468877654909952</v>
      </c>
      <c r="K9" s="20" t="s">
        <v>427</v>
      </c>
    </row>
    <row r="10" spans="1:11" x14ac:dyDescent="0.15">
      <c r="A10" s="7" t="s">
        <v>58</v>
      </c>
      <c r="B10" s="13">
        <f>Consolidated_PL!B33/BS!B21</f>
        <v>0.1838477099693068</v>
      </c>
      <c r="C10" s="13">
        <f>Consolidated_PL!C33/BS!C21</f>
        <v>0.22235794747876764</v>
      </c>
      <c r="D10" s="13">
        <f>Consolidated_PL!D33/BS!D21</f>
        <v>0.22202959610671263</v>
      </c>
      <c r="E10" s="13">
        <f>Consolidated_PL!E33/BS!E21</f>
        <v>0.1936207042512586</v>
      </c>
      <c r="F10" s="13">
        <f>Consolidated_PL!F33/BS!F21</f>
        <v>0.18602525880213452</v>
      </c>
      <c r="G10" s="13">
        <f>Consolidated_PL!G33/BS!G21</f>
        <v>0.17684276742701072</v>
      </c>
      <c r="H10" s="13">
        <f>Consolidated_PL!H33/BS!H21</f>
        <v>0.16666112425339091</v>
      </c>
      <c r="I10" s="13">
        <f>Consolidated_PL!I33/BS!I21</f>
        <v>0.15641306917593531</v>
      </c>
      <c r="K10" s="20" t="s">
        <v>59</v>
      </c>
    </row>
    <row r="12" spans="1:11" x14ac:dyDescent="0.15">
      <c r="A12" s="63" t="s">
        <v>428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</row>
    <row r="13" spans="1:11" x14ac:dyDescent="0.15">
      <c r="A13" s="7" t="s">
        <v>180</v>
      </c>
      <c r="B13" s="60">
        <f>BS!B9/Consolidated_PL!B5*365</f>
        <v>47.852267773606513</v>
      </c>
      <c r="C13" s="60">
        <f>BS!C9/Consolidated_PL!C5*365</f>
        <v>54.580335868441054</v>
      </c>
      <c r="D13" s="60">
        <f>BS!D9/Consolidated_PL!D5*365</f>
        <v>56.979490412972034</v>
      </c>
      <c r="E13" s="60">
        <f>BS!E9/Consolidated_PL!E5*365</f>
        <v>55</v>
      </c>
      <c r="F13" s="60">
        <f>BS!F9/Consolidated_PL!F5*365</f>
        <v>55</v>
      </c>
      <c r="G13" s="60">
        <f>BS!G9/Consolidated_PL!G5*365</f>
        <v>55.000000000000007</v>
      </c>
      <c r="H13" s="60">
        <f>BS!H9/Consolidated_PL!H5*365</f>
        <v>55.000000000000007</v>
      </c>
      <c r="I13" s="60">
        <f>BS!I9/Consolidated_PL!I5*365</f>
        <v>55.000000000000007</v>
      </c>
      <c r="K13" s="20" t="s">
        <v>429</v>
      </c>
    </row>
    <row r="14" spans="1:11" x14ac:dyDescent="0.15">
      <c r="A14" s="7" t="s">
        <v>430</v>
      </c>
      <c r="B14" s="60">
        <f>BS!B24/Consolidated_PL!B14*365</f>
        <v>19.436444364443645</v>
      </c>
      <c r="C14" s="60">
        <f>BS!C24/Consolidated_PL!C14*365</f>
        <v>19.925737837135866</v>
      </c>
      <c r="D14" s="60">
        <f>BS!D24/Consolidated_PL!D14*365</f>
        <v>27.397175992863076</v>
      </c>
      <c r="E14" s="60">
        <f>BS!E24/Consolidated_PL!E14*365</f>
        <v>26</v>
      </c>
      <c r="F14" s="60">
        <f>BS!F24/Consolidated_PL!F14*365</f>
        <v>26</v>
      </c>
      <c r="G14" s="60">
        <f>BS!G24/Consolidated_PL!G14*365</f>
        <v>26</v>
      </c>
      <c r="H14" s="60">
        <f>BS!H24/Consolidated_PL!H14*365</f>
        <v>26</v>
      </c>
      <c r="I14" s="60">
        <f>BS!I24/Consolidated_PL!I14*365</f>
        <v>26</v>
      </c>
      <c r="K14" s="20" t="s">
        <v>431</v>
      </c>
    </row>
    <row r="15" spans="1:11" x14ac:dyDescent="0.15">
      <c r="A15" s="7" t="s">
        <v>432</v>
      </c>
      <c r="B15" s="13">
        <f>-Cash_Flow!B23/Consolidated_PL!B5</f>
        <v>0.10491746748472644</v>
      </c>
      <c r="C15" s="13">
        <f>-Cash_Flow!C23/Consolidated_PL!C5</f>
        <v>0.15009228096840735</v>
      </c>
      <c r="D15" s="13">
        <f>-Cash_Flow!D23/Consolidated_PL!D5</f>
        <v>0.22700801318650765</v>
      </c>
      <c r="E15" s="13">
        <f>-Cash_Flow!E23/Consolidated_PL!E5</f>
        <v>0.39013988205377781</v>
      </c>
      <c r="F15" s="13">
        <f>-Cash_Flow!F23/Consolidated_PL!F5</f>
        <v>0.30811128784990804</v>
      </c>
      <c r="G15" s="13">
        <f>-Cash_Flow!G23/Consolidated_PL!G5</f>
        <v>0.24187616305842671</v>
      </c>
      <c r="H15" s="13">
        <f>-Cash_Flow!H23/Consolidated_PL!H5</f>
        <v>0.188343087632036</v>
      </c>
      <c r="I15" s="13">
        <f>-Cash_Flow!I23/Consolidated_PL!I5</f>
        <v>0.15149585687101069</v>
      </c>
      <c r="K15" s="20" t="s">
        <v>433</v>
      </c>
    </row>
    <row r="16" spans="1:11" x14ac:dyDescent="0.15">
      <c r="A16" s="7" t="s">
        <v>434</v>
      </c>
      <c r="B16" s="61">
        <f>-Cash_Flow!B23/Consolidated_PL!B37</f>
        <v>2.6997321279089235</v>
      </c>
      <c r="C16" s="61">
        <f>-Cash_Flow!C23/Consolidated_PL!C37</f>
        <v>3.4311932597478938</v>
      </c>
      <c r="D16" s="61">
        <f>-Cash_Flow!D23/Consolidated_PL!D37</f>
        <v>4.3265991672975019</v>
      </c>
      <c r="E16" s="61">
        <f>-Cash_Flow!E23/Consolidated_PL!E37</f>
        <v>7.0934524009777782</v>
      </c>
      <c r="F16" s="61">
        <f>-Cash_Flow!F23/Consolidated_PL!F37</f>
        <v>5.6020234154528739</v>
      </c>
      <c r="G16" s="61">
        <f>-Cash_Flow!G23/Consolidated_PL!G37</f>
        <v>4.3977484192441221</v>
      </c>
      <c r="H16" s="61">
        <f>-Cash_Flow!H23/Consolidated_PL!H37</f>
        <v>3.4244197751279275</v>
      </c>
      <c r="I16" s="61">
        <f>-Cash_Flow!I23/Consolidated_PL!I37</f>
        <v>2.7544701249274675</v>
      </c>
      <c r="K16" s="20" t="s">
        <v>435</v>
      </c>
    </row>
    <row r="18" spans="1:11" x14ac:dyDescent="0.15">
      <c r="A18" s="63" t="s">
        <v>436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x14ac:dyDescent="0.15">
      <c r="A19" s="7" t="s">
        <v>437</v>
      </c>
      <c r="B19" s="13">
        <f>(BS!B21-BS!B40)/BS!B21</f>
        <v>0.2940093474708016</v>
      </c>
      <c r="C19" s="13">
        <f>(BS!C21-BS!C40)/BS!C21</f>
        <v>0.27800184783767456</v>
      </c>
      <c r="D19" s="13">
        <f>(BS!D21-BS!D40)/BS!D21</f>
        <v>0.30240508264164317</v>
      </c>
      <c r="E19" s="13">
        <f>(BS!E21-BS!E40)/BS!E21</f>
        <v>0.27735098858512314</v>
      </c>
      <c r="F19" s="13">
        <f>(BS!F21-BS!F40)/BS!F21</f>
        <v>0.25470654923980718</v>
      </c>
      <c r="G19" s="13">
        <f>(BS!G21-BS!G40)/BS!G21</f>
        <v>0.23351528726105322</v>
      </c>
      <c r="H19" s="13">
        <f>(BS!H21-BS!H40)/BS!H21</f>
        <v>0.21409733334550254</v>
      </c>
      <c r="I19" s="13">
        <f>(BS!I21-BS!I40)/BS!I21</f>
        <v>0.19659945504619927</v>
      </c>
      <c r="K19" s="20" t="s">
        <v>438</v>
      </c>
    </row>
    <row r="20" spans="1:11" x14ac:dyDescent="0.15">
      <c r="A20" s="7" t="s">
        <v>439</v>
      </c>
      <c r="B20" s="62">
        <f>BS!B11/BS!B29</f>
        <v>2.1212939404953528</v>
      </c>
      <c r="C20" s="62">
        <f>BS!C11/BS!C29</f>
        <v>1.8369313974102914</v>
      </c>
      <c r="D20" s="62">
        <f>BS!D11/BS!D29</f>
        <v>2.0053335928755658</v>
      </c>
      <c r="E20" s="62">
        <f>BS!E11/BS!E29</f>
        <v>1.2231065740584064</v>
      </c>
      <c r="F20" s="62">
        <f>BS!F11/BS!F29</f>
        <v>0.91082157333662794</v>
      </c>
      <c r="G20" s="62">
        <f>BS!G11/BS!G29</f>
        <v>0.94896290867649491</v>
      </c>
      <c r="H20" s="62">
        <f>BS!H11/BS!H29</f>
        <v>1.2358078252262323</v>
      </c>
      <c r="I20" s="62">
        <f>BS!I11/BS!I29</f>
        <v>1.6748430245820956</v>
      </c>
      <c r="K20" s="20" t="s">
        <v>440</v>
      </c>
    </row>
    <row r="21" spans="1:11" x14ac:dyDescent="0.15">
      <c r="A21" s="7" t="s">
        <v>441</v>
      </c>
      <c r="B21" s="42">
        <f>BS!B8-BS!B32</f>
        <v>98029</v>
      </c>
      <c r="C21" s="42">
        <f>BS!C8-BS!C32</f>
        <v>84774</v>
      </c>
      <c r="D21" s="42">
        <f>BS!D8-BS!D32</f>
        <v>80296</v>
      </c>
      <c r="E21" s="42">
        <f>BS!E8-BS!E32</f>
        <v>5302.1508284028096</v>
      </c>
      <c r="F21" s="42">
        <f>BS!F8-BS!F32</f>
        <v>-28702.629614204154</v>
      </c>
      <c r="G21" s="42">
        <f>BS!G8-BS!G32</f>
        <v>-21441.118875776214</v>
      </c>
      <c r="H21" s="42">
        <f>BS!H8-BS!H32</f>
        <v>26153.006950192226</v>
      </c>
      <c r="I21" s="42">
        <f>BS!I8-BS!I32</f>
        <v>108047.01540332712</v>
      </c>
      <c r="K21" s="20" t="s">
        <v>442</v>
      </c>
    </row>
    <row r="23" spans="1:11" x14ac:dyDescent="0.15">
      <c r="A23" s="63" t="s">
        <v>443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1:11" x14ac:dyDescent="0.15">
      <c r="A24" s="7" t="s">
        <v>444</v>
      </c>
      <c r="B24" s="62">
        <f>Cash_Flow!B20/Consolidated_PL!B33</f>
        <v>1.3787654990175486</v>
      </c>
      <c r="C24" s="62">
        <f>Cash_Flow!C20/Consolidated_PL!C33</f>
        <v>1.2515132144069998</v>
      </c>
      <c r="D24" s="62">
        <f>Cash_Flow!D20/Consolidated_PL!D33</f>
        <v>1.2462207762729818</v>
      </c>
      <c r="E24" s="62">
        <f>Cash_Flow!E20/Consolidated_PL!E33</f>
        <v>1.4066289982439528</v>
      </c>
      <c r="F24" s="62">
        <f>Cash_Flow!F20/Consolidated_PL!F33</f>
        <v>1.4037712582702313</v>
      </c>
      <c r="G24" s="62">
        <f>Cash_Flow!G20/Consolidated_PL!G33</f>
        <v>1.4022658330658773</v>
      </c>
      <c r="H24" s="62">
        <f>Cash_Flow!H20/Consolidated_PL!H33</f>
        <v>1.401474227420203</v>
      </c>
      <c r="I24" s="62">
        <f>Cash_Flow!I20/Consolidated_PL!I33</f>
        <v>1.400574685292308</v>
      </c>
      <c r="K24" s="20" t="s">
        <v>445</v>
      </c>
    </row>
    <row r="25" spans="1:11" x14ac:dyDescent="0.15">
      <c r="A25" s="7" t="s">
        <v>446</v>
      </c>
      <c r="B25" s="13">
        <f>Cash_Flow!B26/Consolidated_PL!B5</f>
        <v>0.22607793255561268</v>
      </c>
      <c r="C25" s="13">
        <f>Cash_Flow!C26/Consolidated_PL!C5</f>
        <v>0.20788645155392008</v>
      </c>
      <c r="D25" s="13">
        <f>Cash_Flow!D26/Consolidated_PL!D5</f>
        <v>0.18187550268595656</v>
      </c>
      <c r="E25" s="13">
        <f>Cash_Flow!E26/Consolidated_PL!E5</f>
        <v>2.0596672801260964E-2</v>
      </c>
      <c r="F25" s="13">
        <f>Cash_Flow!F26/Consolidated_PL!F5</f>
        <v>0.1032911674866977</v>
      </c>
      <c r="G25" s="13">
        <f>Cash_Flow!G26/Consolidated_PL!G5</f>
        <v>0.16965960592893231</v>
      </c>
      <c r="H25" s="13">
        <f>Cash_Flow!H26/Consolidated_PL!H5</f>
        <v>0.22298737673693039</v>
      </c>
      <c r="I25" s="13">
        <f>Cash_Flow!I26/Consolidated_PL!I5</f>
        <v>0.25993517082436612</v>
      </c>
      <c r="K25" s="20" t="s">
        <v>447</v>
      </c>
    </row>
    <row r="27" spans="1:11" x14ac:dyDescent="0.15">
      <c r="A27" s="63" t="s">
        <v>448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1:11" x14ac:dyDescent="0.15">
      <c r="A28" s="7" t="s">
        <v>449</v>
      </c>
      <c r="C28" s="13">
        <f>Consolidated_PL!C5/Consolidated_PL!B5-1</f>
        <v>0.13866243322901561</v>
      </c>
      <c r="D28" s="13">
        <f>Consolidated_PL!D5/Consolidated_PL!C5-1</f>
        <v>0.15090081081544371</v>
      </c>
      <c r="E28" s="13">
        <f>Consolidated_PL!E5/Consolidated_PL!D5-1</f>
        <v>0.14531218659702727</v>
      </c>
      <c r="F28" s="13">
        <f>Consolidated_PL!F5/Consolidated_PL!E5-1</f>
        <v>0.12553814139701025</v>
      </c>
      <c r="G28" s="13">
        <f>Consolidated_PL!G5/Consolidated_PL!F5-1</f>
        <v>0.11460911840058663</v>
      </c>
      <c r="H28" s="13">
        <f>Consolidated_PL!H5/Consolidated_PL!G5-1</f>
        <v>0.10077002604786434</v>
      </c>
      <c r="I28" s="13">
        <f>Consolidated_PL!I5/Consolidated_PL!H5-1</f>
        <v>8.7819859115676246E-2</v>
      </c>
      <c r="K28" s="20" t="s">
        <v>450</v>
      </c>
    </row>
    <row r="29" spans="1:11" x14ac:dyDescent="0.15">
      <c r="A29" s="7" t="s">
        <v>451</v>
      </c>
      <c r="C29" s="13">
        <f>Consolidated_PL!C33/Consolidated_PL!B33-1</f>
        <v>0.35670438376583768</v>
      </c>
      <c r="D29" s="13">
        <f>Consolidated_PL!D33/Consolidated_PL!C33-1</f>
        <v>0.32014223216604409</v>
      </c>
      <c r="E29" s="13">
        <f>Consolidated_PL!E33/Consolidated_PL!D33-1</f>
        <v>1.9302422757055293E-2</v>
      </c>
      <c r="F29" s="13">
        <f>Consolidated_PL!F33/Consolidated_PL!E33-1</f>
        <v>0.12965794241118611</v>
      </c>
      <c r="G29" s="13">
        <f>Consolidated_PL!G33/Consolidated_PL!F33-1</f>
        <v>0.11616729835729167</v>
      </c>
      <c r="H29" s="13">
        <f>Consolidated_PL!H33/Consolidated_PL!G33-1</f>
        <v>0.10084232653454217</v>
      </c>
      <c r="I29" s="13">
        <f>Consolidated_PL!I33/Consolidated_PL!H33-1</f>
        <v>8.8784653642179689E-2</v>
      </c>
      <c r="K29" s="20" t="s">
        <v>450</v>
      </c>
    </row>
    <row r="30" spans="1:11" x14ac:dyDescent="0.15">
      <c r="A30" s="7" t="s">
        <v>452</v>
      </c>
      <c r="C30" s="13">
        <f>Consolidated_PL!C41/Consolidated_PL!B41-1</f>
        <v>0.38667897246476945</v>
      </c>
      <c r="D30" s="13">
        <f>Consolidated_PL!D41/Consolidated_PL!C41-1</f>
        <v>0.34356585149392904</v>
      </c>
      <c r="E30" s="13">
        <f>Consolidated_PL!E41/Consolidated_PL!D41-1</f>
        <v>4.0104513017403143E-2</v>
      </c>
      <c r="F30" s="13">
        <f>Consolidated_PL!F41/Consolidated_PL!E41-1</f>
        <v>0.15271218613386361</v>
      </c>
      <c r="G30" s="13">
        <f>Consolidated_PL!G41/Consolidated_PL!F41-1</f>
        <v>0.13894622281356317</v>
      </c>
      <c r="H30" s="13">
        <f>Consolidated_PL!H41/Consolidated_PL!G41-1</f>
        <v>0.12330849646381825</v>
      </c>
      <c r="I30" s="13">
        <f>Consolidated_PL!I41/Consolidated_PL!H41-1</f>
        <v>0.11100474861446918</v>
      </c>
      <c r="K30" s="20" t="s">
        <v>450</v>
      </c>
    </row>
    <row r="32" spans="1:11" x14ac:dyDescent="0.15">
      <c r="A32" s="63" t="s">
        <v>453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1:1" x14ac:dyDescent="0.15">
      <c r="A33" s="14" t="s">
        <v>454</v>
      </c>
    </row>
    <row r="34" spans="1:1" x14ac:dyDescent="0.15">
      <c r="A34" s="14" t="s">
        <v>455</v>
      </c>
    </row>
    <row r="35" spans="1:1" x14ac:dyDescent="0.15">
      <c r="A35" s="14" t="s">
        <v>456</v>
      </c>
    </row>
    <row r="36" spans="1:1" x14ac:dyDescent="0.15">
      <c r="A36" s="14" t="s">
        <v>457</v>
      </c>
    </row>
    <row r="37" spans="1:1" x14ac:dyDescent="0.15">
      <c r="A37" s="14" t="s">
        <v>458</v>
      </c>
    </row>
    <row r="38" spans="1:1" x14ac:dyDescent="0.15">
      <c r="A38" s="14" t="s">
        <v>459</v>
      </c>
    </row>
    <row r="39" spans="1:1" x14ac:dyDescent="0.15">
      <c r="A39" s="14" t="s">
        <v>460</v>
      </c>
    </row>
    <row r="42" spans="1:1" x14ac:dyDescent="0.15">
      <c r="A42" s="15" t="s">
        <v>67</v>
      </c>
    </row>
    <row r="43" spans="1:1" x14ac:dyDescent="0.15">
      <c r="A43" s="14" t="s">
        <v>68</v>
      </c>
    </row>
    <row r="44" spans="1:1" x14ac:dyDescent="0.15">
      <c r="A44" s="14" t="s">
        <v>69</v>
      </c>
    </row>
    <row r="45" spans="1:1" x14ac:dyDescent="0.15">
      <c r="A45" s="14" t="s">
        <v>70</v>
      </c>
    </row>
    <row r="46" spans="1:1" x14ac:dyDescent="0.15">
      <c r="A46" s="14" t="s">
        <v>71</v>
      </c>
    </row>
    <row r="47" spans="1:1" x14ac:dyDescent="0.15">
      <c r="A47" s="14" t="s">
        <v>72</v>
      </c>
    </row>
    <row r="49" spans="1:1" x14ac:dyDescent="0.15">
      <c r="A49" s="15" t="s">
        <v>73</v>
      </c>
    </row>
    <row r="50" spans="1:1" x14ac:dyDescent="0.15">
      <c r="A50" s="14" t="s">
        <v>74</v>
      </c>
    </row>
    <row r="51" spans="1:1" x14ac:dyDescent="0.15">
      <c r="A51" s="14" t="s">
        <v>75</v>
      </c>
    </row>
    <row r="52" spans="1:1" x14ac:dyDescent="0.15">
      <c r="A52" s="14" t="s">
        <v>76</v>
      </c>
    </row>
    <row r="53" spans="1:1" x14ac:dyDescent="0.15">
      <c r="A53" s="14" t="s">
        <v>77</v>
      </c>
    </row>
  </sheetData>
  <mergeCells count="6">
    <mergeCell ref="A12:K12"/>
    <mergeCell ref="A18:K18"/>
    <mergeCell ref="A32:K32"/>
    <mergeCell ref="A5:K5"/>
    <mergeCell ref="A23:K23"/>
    <mergeCell ref="A27:K27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Cover</vt:lpstr>
      <vt:lpstr>Key_Summary</vt:lpstr>
      <vt:lpstr>Assumptions</vt:lpstr>
      <vt:lpstr>Segment_Revenue</vt:lpstr>
      <vt:lpstr>Segment_PL</vt:lpstr>
      <vt:lpstr>Consolidated_PL</vt:lpstr>
      <vt:lpstr>BS</vt:lpstr>
      <vt:lpstr>Cash_Flow</vt:lpstr>
      <vt:lpstr>DCF</vt:lpstr>
      <vt:lpstr>Sensitivity</vt:lpstr>
      <vt:lpstr>Ratio_Analysis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LI</cp:lastModifiedBy>
  <dcterms:created xsi:type="dcterms:W3CDTF">2026-02-10T07:20:35Z</dcterms:created>
  <dcterms:modified xsi:type="dcterms:W3CDTF">2026-02-10T07:26:01Z</dcterms:modified>
</cp:coreProperties>
</file>